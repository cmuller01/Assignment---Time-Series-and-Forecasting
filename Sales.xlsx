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samuller/Downloads/"/>
    </mc:Choice>
  </mc:AlternateContent>
  <xr:revisionPtr revIDLastSave="0" documentId="13_ncr:1_{39743033-C9B4-CB42-B3AC-0B4D8CC20E58}" xr6:coauthVersionLast="47" xr6:coauthVersionMax="47" xr10:uidLastSave="{00000000-0000-0000-0000-000000000000}"/>
  <bookViews>
    <workbookView xWindow="0" yWindow="740" windowWidth="29400" windowHeight="16840" xr2:uid="{D8031B7E-A8A6-4544-91D0-FD91EEBEFC85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" i="1"/>
  <c r="AR33" i="1"/>
  <c r="AO33" i="1"/>
  <c r="AL33" i="1"/>
  <c r="AI33" i="1"/>
  <c r="AF33" i="1"/>
  <c r="Z33" i="1"/>
  <c r="W3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" i="1"/>
  <c r="AD4" i="1"/>
  <c r="AE4" i="1" s="1"/>
  <c r="AD5" i="1"/>
  <c r="AE5" i="1" s="1"/>
  <c r="AD6" i="1"/>
  <c r="AE6" i="1" s="1"/>
  <c r="AD7" i="1"/>
  <c r="AE7" i="1" s="1"/>
  <c r="AD8" i="1"/>
  <c r="AE8" i="1" s="1"/>
  <c r="AD9" i="1"/>
  <c r="AE9" i="1" s="1"/>
  <c r="AD10" i="1"/>
  <c r="AE10" i="1" s="1"/>
  <c r="AD11" i="1"/>
  <c r="AE11" i="1" s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E30" i="1" s="1"/>
  <c r="AD3" i="1"/>
  <c r="AE3" i="1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" i="1"/>
  <c r="AO4" i="1"/>
  <c r="AO5" i="1"/>
  <c r="AO6" i="1"/>
  <c r="AO7" i="1"/>
  <c r="AO8" i="1"/>
  <c r="AO9" i="1"/>
  <c r="AO10" i="1"/>
  <c r="AO11" i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" i="1"/>
  <c r="AL4" i="1"/>
  <c r="AL5" i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" i="1"/>
  <c r="AI4" i="1"/>
  <c r="AI5" i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 s="1"/>
  <c r="Z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 s="1"/>
  <c r="W30" i="1" s="1"/>
  <c r="W3" i="1"/>
  <c r="R33" i="1"/>
  <c r="Q33" i="1"/>
  <c r="P33" i="1"/>
  <c r="N33" i="1"/>
  <c r="M33" i="1"/>
  <c r="L33" i="1"/>
  <c r="J33" i="1"/>
  <c r="I33" i="1"/>
  <c r="H33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7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6" i="1"/>
  <c r="J7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5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7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7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6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AC33" i="1" l="1"/>
</calcChain>
</file>

<file path=xl/sharedStrings.xml><?xml version="1.0" encoding="utf-8"?>
<sst xmlns="http://schemas.openxmlformats.org/spreadsheetml/2006/main" count="60" uniqueCount="39">
  <si>
    <t>Week</t>
  </si>
  <si>
    <t>Sales</t>
  </si>
  <si>
    <t>3MA</t>
  </si>
  <si>
    <t>4MA</t>
  </si>
  <si>
    <t>5MA</t>
  </si>
  <si>
    <t>ES Alpha = 0.5</t>
  </si>
  <si>
    <t>MSE</t>
  </si>
  <si>
    <t>Error</t>
  </si>
  <si>
    <t>Error- 3MA</t>
  </si>
  <si>
    <t>MSE- 3MA</t>
  </si>
  <si>
    <t>MAE- 3MA</t>
  </si>
  <si>
    <t>MAPE- 3MA</t>
  </si>
  <si>
    <t>Error- 4MA</t>
  </si>
  <si>
    <t>MSE- 5MA</t>
  </si>
  <si>
    <t>Error- 5MA</t>
  </si>
  <si>
    <t>MAE- 5MA</t>
  </si>
  <si>
    <t>MAPE- 5MA</t>
  </si>
  <si>
    <t>MSE- 4MA</t>
  </si>
  <si>
    <t>MAE- 4MA</t>
  </si>
  <si>
    <t>MAPE- 4MA</t>
  </si>
  <si>
    <t>Absolute Error- 3MA</t>
  </si>
  <si>
    <t>Absolute Error- 4MA</t>
  </si>
  <si>
    <t>Absolute Error- 5MA</t>
  </si>
  <si>
    <t>Squared Error- 3MA</t>
  </si>
  <si>
    <t>Squared Error- 4MA</t>
  </si>
  <si>
    <t>Squared error- 5MA</t>
  </si>
  <si>
    <t>Absolute % Error- 3MA</t>
  </si>
  <si>
    <t>Absolute % Error- 4MA</t>
  </si>
  <si>
    <t>Absolute % Error- 5MA</t>
  </si>
  <si>
    <t>Squared Error</t>
  </si>
  <si>
    <t>ES Alpha = 0.1</t>
  </si>
  <si>
    <t>ES Alpha = 0.2</t>
  </si>
  <si>
    <t>ES Alpha = 0.3</t>
  </si>
  <si>
    <t>ES Alpha = 0.4</t>
  </si>
  <si>
    <t>ES Alpha = 0.6</t>
  </si>
  <si>
    <t>ES Alpha = 0.7</t>
  </si>
  <si>
    <t>ES Alpha = 0.8</t>
  </si>
  <si>
    <t>ES Alpha = 0.9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</si>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</sst>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33</xdr:row>
      <xdr:rowOff>139700</xdr:rowOff>
    </xdr:from>
    <xdr:to>
      <xdr:col>7</xdr:col>
      <xdr:colOff>800100</xdr:colOff>
      <xdr:row>40</xdr:row>
      <xdr:rowOff>43296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9EF9F7-3E87-929B-054A-D8AE601CC489}"/>
            </a:ext>
          </a:extLst>
        </xdr:cNvPr>
        <xdr:cNvSpPr txBox="1"/>
      </xdr:nvSpPr>
      <xdr:spPr>
        <a:xfrm>
          <a:off x="279400" y="6749473"/>
          <a:ext cx="5665643" cy="12168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The alpha</a:t>
          </a:r>
          <a:r>
            <a:rPr lang="en-US" sz="1100" baseline="0"/>
            <a:t> value that minimizies the MSE the most is around 0.3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I believe</a:t>
          </a:r>
          <a:r>
            <a:rPr lang="en-US" sz="1100" baseline="0"/>
            <a:t> the forecast with 5 Moving Averages performs the best becasue it has the lowest MSE all across and low values for MAE and MAPE. The forcast with 4 Moving Averages is close next with very similar low values for MAE and MAPE but a little higher MSE. </a:t>
          </a:r>
          <a:endParaRPr lang="en-US" sz="1100"/>
        </a:p>
        <a:p>
          <a:endParaRPr lang="en-US" sz="1100"/>
        </a:p>
      </xdr:txBody>
    </xdr:sp>
    <xdr:clientData/>
  </xdr:twoCellAnchor>
  <xdr:twoCellAnchor>
    <xdr:from>
      <xdr:col>18</xdr:col>
      <xdr:colOff>346364</xdr:colOff>
      <xdr:row>2</xdr:row>
      <xdr:rowOff>153938</xdr:rowOff>
    </xdr:from>
    <xdr:to>
      <xdr:col>21</xdr:col>
      <xdr:colOff>551616</xdr:colOff>
      <xdr:row>9</xdr:row>
      <xdr:rowOff>25399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FC982D-2D96-1AEE-7451-7DCF2AD59F38}"/>
            </a:ext>
          </a:extLst>
        </xdr:cNvPr>
        <xdr:cNvSpPr txBox="1"/>
      </xdr:nvSpPr>
      <xdr:spPr>
        <a:xfrm>
          <a:off x="19497964" y="547638"/>
          <a:ext cx="2211852" cy="1293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Finding the value for alpha that minimizes the MSE for exponential smoothing forecast.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/>
            <a:t>---&gt;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The alpha</a:t>
          </a:r>
          <a:r>
            <a:rPr lang="en-US" sz="1100" baseline="0"/>
            <a:t> value that minimizies the MSE the most is around 0.3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E4D1-A3B9-4F1F-873A-20E8F4C2A5A2}">
  <dimension ref="A1:AZ34"/>
  <sheetViews>
    <sheetView tabSelected="1" topLeftCell="A5" zoomScale="65" workbookViewId="0">
      <selection activeCell="O36" sqref="O36"/>
    </sheetView>
  </sheetViews>
  <sheetFormatPr baseColWidth="10" defaultColWidth="8.83203125" defaultRowHeight="15" x14ac:dyDescent="0.2"/>
  <cols>
    <col min="6" max="6" width="13.1640625" customWidth="1"/>
    <col min="7" max="7" width="10.33203125" customWidth="1"/>
    <col min="8" max="8" width="17.6640625" customWidth="1"/>
    <col min="9" max="9" width="17.33203125" customWidth="1"/>
    <col min="10" max="10" width="19.6640625" customWidth="1"/>
    <col min="11" max="11" width="10.6640625" customWidth="1"/>
    <col min="12" max="12" width="18.33203125" customWidth="1"/>
    <col min="13" max="13" width="16.5" customWidth="1"/>
    <col min="14" max="14" width="19.5" customWidth="1"/>
    <col min="15" max="15" width="10" customWidth="1"/>
    <col min="16" max="16" width="17.6640625" customWidth="1"/>
    <col min="17" max="17" width="16.6640625" customWidth="1"/>
    <col min="18" max="18" width="19.6640625" customWidth="1"/>
    <col min="21" max="21" width="8.6640625" customWidth="1"/>
    <col min="23" max="23" width="14.5" customWidth="1"/>
    <col min="24" max="24" width="7.6640625" customWidth="1"/>
    <col min="25" max="25" width="14.1640625" customWidth="1"/>
    <col min="26" max="26" width="13.6640625" customWidth="1"/>
    <col min="28" max="28" width="12.83203125" customWidth="1"/>
    <col min="29" max="29" width="14.1640625" customWidth="1"/>
    <col min="31" max="31" width="11.83203125" customWidth="1"/>
    <col min="32" max="32" width="13" customWidth="1"/>
    <col min="34" max="34" width="11.83203125" customWidth="1"/>
    <col min="35" max="35" width="13" customWidth="1"/>
    <col min="37" max="37" width="12.33203125" customWidth="1"/>
    <col min="38" max="38" width="13.6640625" customWidth="1"/>
    <col min="40" max="40" width="13.1640625" customWidth="1"/>
    <col min="41" max="41" width="13" customWidth="1"/>
    <col min="43" max="43" width="12.6640625" customWidth="1"/>
    <col min="44" max="44" width="13.1640625" customWidth="1"/>
    <col min="46" max="46" width="13.5" customWidth="1"/>
    <col min="47" max="47" width="13.83203125" customWidth="1"/>
    <col min="49" max="49" width="12.6640625" customWidth="1"/>
    <col min="50" max="50" width="13" customWidth="1"/>
    <col min="52" max="52" width="11.5" customWidth="1"/>
  </cols>
  <sheetData>
    <row r="1" spans="1:52" x14ac:dyDescent="0.2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8</v>
      </c>
      <c r="H1" s="3" t="s">
        <v>20</v>
      </c>
      <c r="I1" s="3" t="s">
        <v>23</v>
      </c>
      <c r="J1" s="3" t="s">
        <v>26</v>
      </c>
      <c r="K1" s="3" t="s">
        <v>12</v>
      </c>
      <c r="L1" s="3" t="s">
        <v>21</v>
      </c>
      <c r="M1" s="3" t="s">
        <v>24</v>
      </c>
      <c r="N1" s="3" t="s">
        <v>27</v>
      </c>
      <c r="O1" s="3" t="s">
        <v>14</v>
      </c>
      <c r="P1" s="3" t="s">
        <v>22</v>
      </c>
      <c r="Q1" s="3" t="s">
        <v>25</v>
      </c>
      <c r="R1" s="3" t="s">
        <v>28</v>
      </c>
      <c r="U1" s="3"/>
      <c r="W1" s="4" t="s">
        <v>30</v>
      </c>
      <c r="X1" s="3" t="s">
        <v>7</v>
      </c>
      <c r="Y1" s="3" t="s">
        <v>29</v>
      </c>
      <c r="Z1" s="4" t="s">
        <v>31</v>
      </c>
      <c r="AA1" s="3" t="s">
        <v>7</v>
      </c>
      <c r="AB1" s="3" t="s">
        <v>29</v>
      </c>
      <c r="AC1" s="4" t="s">
        <v>32</v>
      </c>
      <c r="AD1" s="3" t="s">
        <v>7</v>
      </c>
      <c r="AE1" s="3" t="s">
        <v>29</v>
      </c>
      <c r="AF1" s="4" t="s">
        <v>33</v>
      </c>
      <c r="AG1" s="3" t="s">
        <v>7</v>
      </c>
      <c r="AH1" s="3" t="s">
        <v>29</v>
      </c>
      <c r="AI1" s="4" t="s">
        <v>34</v>
      </c>
      <c r="AJ1" s="3" t="s">
        <v>7</v>
      </c>
      <c r="AK1" s="3" t="s">
        <v>29</v>
      </c>
      <c r="AL1" s="4" t="s">
        <v>35</v>
      </c>
      <c r="AM1" s="3" t="s">
        <v>7</v>
      </c>
      <c r="AN1" s="3" t="s">
        <v>29</v>
      </c>
      <c r="AO1" s="4" t="s">
        <v>36</v>
      </c>
      <c r="AP1" s="3" t="s">
        <v>7</v>
      </c>
      <c r="AQ1" s="3" t="s">
        <v>29</v>
      </c>
      <c r="AR1" s="4" t="s">
        <v>37</v>
      </c>
      <c r="AS1" s="3" t="s">
        <v>7</v>
      </c>
      <c r="AT1" s="3" t="s">
        <v>29</v>
      </c>
      <c r="AU1" s="4"/>
      <c r="AV1" s="3"/>
      <c r="AW1" s="3"/>
      <c r="AX1" s="4"/>
      <c r="AY1" s="3"/>
      <c r="AZ1" s="3"/>
    </row>
    <row r="2" spans="1:52" ht="16" x14ac:dyDescent="0.2">
      <c r="A2" s="2">
        <v>1</v>
      </c>
      <c r="B2" s="2">
        <v>17</v>
      </c>
      <c r="F2" t="e">
        <v>#N/A</v>
      </c>
      <c r="W2" t="e">
        <v>#N/A</v>
      </c>
      <c r="Z2" t="e">
        <v>#N/A</v>
      </c>
      <c r="AC2" t="e">
        <v>#N/A</v>
      </c>
      <c r="AF2" t="e">
        <v>#N/A</v>
      </c>
      <c r="AI2" t="e">
        <v>#N/A</v>
      </c>
      <c r="AL2" t="e">
        <v>#N/A</v>
      </c>
      <c r="AO2" t="e">
        <v>#N/A</v>
      </c>
      <c r="AR2" t="e">
        <v>#N/A</v>
      </c>
    </row>
    <row r="3" spans="1:52" ht="16" x14ac:dyDescent="0.2">
      <c r="A3" s="2">
        <v>2</v>
      </c>
      <c r="B3" s="2">
        <v>21</v>
      </c>
      <c r="C3" t="e">
        <v>#N/A</v>
      </c>
      <c r="D3" t="e">
        <v>#N/A</v>
      </c>
      <c r="E3" t="e">
        <v>#N/A</v>
      </c>
      <c r="F3">
        <f>B2</f>
        <v>17</v>
      </c>
      <c r="W3">
        <f>B2</f>
        <v>17</v>
      </c>
      <c r="X3">
        <f>B3-W3</f>
        <v>4</v>
      </c>
      <c r="Y3">
        <f>X3*X3</f>
        <v>16</v>
      </c>
      <c r="Z3">
        <f>B2</f>
        <v>17</v>
      </c>
      <c r="AA3">
        <f>B3-Z3</f>
        <v>4</v>
      </c>
      <c r="AB3">
        <f>AA3*AA3</f>
        <v>16</v>
      </c>
      <c r="AC3">
        <f>B2</f>
        <v>17</v>
      </c>
      <c r="AD3">
        <f>B3-AC3</f>
        <v>4</v>
      </c>
      <c r="AE3">
        <f>AD3*AD3</f>
        <v>16</v>
      </c>
      <c r="AF3">
        <f>B2</f>
        <v>17</v>
      </c>
      <c r="AG3">
        <f>B3-AF3</f>
        <v>4</v>
      </c>
      <c r="AH3">
        <f>AG3*AG3</f>
        <v>16</v>
      </c>
      <c r="AI3">
        <f>B2</f>
        <v>17</v>
      </c>
      <c r="AJ3">
        <f>B3-AI3</f>
        <v>4</v>
      </c>
      <c r="AK3">
        <f>AJ3*AJ3</f>
        <v>16</v>
      </c>
      <c r="AL3">
        <f>B2</f>
        <v>17</v>
      </c>
      <c r="AM3">
        <f>B3-AL3</f>
        <v>4</v>
      </c>
      <c r="AN3">
        <f>AM3*AM3</f>
        <v>16</v>
      </c>
      <c r="AO3">
        <f>B2</f>
        <v>17</v>
      </c>
      <c r="AP3">
        <f>B3-AO3</f>
        <v>4</v>
      </c>
      <c r="AQ3">
        <f>AP3*AP3</f>
        <v>16</v>
      </c>
      <c r="AR3">
        <f>B2</f>
        <v>17</v>
      </c>
      <c r="AS3">
        <f>B3-AR3</f>
        <v>4</v>
      </c>
      <c r="AT3">
        <f>AS3*AS3</f>
        <v>16</v>
      </c>
    </row>
    <row r="4" spans="1:52" ht="16" x14ac:dyDescent="0.2">
      <c r="A4" s="2">
        <v>3</v>
      </c>
      <c r="B4" s="2">
        <v>19</v>
      </c>
      <c r="C4" t="e">
        <v>#N/A</v>
      </c>
      <c r="D4" t="e">
        <v>#N/A</v>
      </c>
      <c r="E4" t="e">
        <v>#N/A</v>
      </c>
      <c r="F4">
        <f t="shared" ref="F4:F30" si="0">0.5*B3+0.5*F3</f>
        <v>19</v>
      </c>
      <c r="W4">
        <f t="shared" ref="W4:W30" si="1">0.1*B3+0.9*W3</f>
        <v>17.400000000000002</v>
      </c>
      <c r="X4">
        <f t="shared" ref="X4:X30" si="2">B4-W4</f>
        <v>1.5999999999999979</v>
      </c>
      <c r="Y4">
        <f t="shared" ref="Y4:Y30" si="3">X4*X4</f>
        <v>2.5599999999999934</v>
      </c>
      <c r="Z4">
        <f t="shared" ref="Z4:Z30" si="4">0.2*B3+0.8*Z3</f>
        <v>17.8</v>
      </c>
      <c r="AA4">
        <f t="shared" ref="AA4:AA30" si="5">B4-Z4</f>
        <v>1.1999999999999993</v>
      </c>
      <c r="AB4">
        <f t="shared" ref="AB4:AB30" si="6">AA4*AA4</f>
        <v>1.4399999999999984</v>
      </c>
      <c r="AC4">
        <f t="shared" ref="AC4:AC30" si="7">0.3*B3+0.7*AC3</f>
        <v>18.2</v>
      </c>
      <c r="AD4">
        <f t="shared" ref="AD4:AD30" si="8">B4-AC4</f>
        <v>0.80000000000000071</v>
      </c>
      <c r="AE4">
        <f t="shared" ref="AE4:AE30" si="9">AD4*AD4</f>
        <v>0.64000000000000112</v>
      </c>
      <c r="AF4">
        <f t="shared" ref="AF4:AF30" si="10">0.4*B3+0.6*AF3</f>
        <v>18.600000000000001</v>
      </c>
      <c r="AG4">
        <f t="shared" ref="AG4:AG30" si="11">B4-AF4</f>
        <v>0.39999999999999858</v>
      </c>
      <c r="AH4">
        <f t="shared" ref="AH4:AH30" si="12">AG4*AG4</f>
        <v>0.15999999999999887</v>
      </c>
      <c r="AI4">
        <f t="shared" ref="AI4:AI30" si="13">0.6*B3+0.4*AI3</f>
        <v>19.399999999999999</v>
      </c>
      <c r="AJ4">
        <f t="shared" ref="AJ4:AJ30" si="14">B4-AI4</f>
        <v>-0.39999999999999858</v>
      </c>
      <c r="AK4">
        <f t="shared" ref="AK4:AK30" si="15">AJ4*AJ4</f>
        <v>0.15999999999999887</v>
      </c>
      <c r="AL4">
        <f t="shared" ref="AL4:AL30" si="16">0.7*B3+0.3*AL3</f>
        <v>19.799999999999997</v>
      </c>
      <c r="AM4">
        <f t="shared" ref="AM4:AM30" si="17">B4-AL4</f>
        <v>-0.79999999999999716</v>
      </c>
      <c r="AN4">
        <f t="shared" ref="AN4:AN30" si="18">AM4*AM4</f>
        <v>0.63999999999999546</v>
      </c>
      <c r="AO4">
        <f t="shared" ref="AO4:AO30" si="19">0.8*B3+0.2*AO3</f>
        <v>20.200000000000003</v>
      </c>
      <c r="AP4">
        <f t="shared" ref="AP4:AP30" si="20">B4-AO4</f>
        <v>-1.2000000000000028</v>
      </c>
      <c r="AQ4">
        <f t="shared" ref="AQ4:AQ30" si="21">AP4*AP4</f>
        <v>1.4400000000000068</v>
      </c>
      <c r="AR4">
        <f t="shared" ref="AR4:AR30" si="22">0.9*B3+0.1*AR3</f>
        <v>20.6</v>
      </c>
      <c r="AS4">
        <f t="shared" ref="AS4:AS30" si="23">B4-AR4</f>
        <v>-1.6000000000000014</v>
      </c>
      <c r="AT4">
        <f t="shared" ref="AT4:AT30" si="24">AS4*AS4</f>
        <v>2.5600000000000045</v>
      </c>
    </row>
    <row r="5" spans="1:52" ht="16" x14ac:dyDescent="0.2">
      <c r="A5" s="2">
        <v>4</v>
      </c>
      <c r="B5" s="2">
        <v>23</v>
      </c>
      <c r="C5">
        <f t="shared" ref="C5:C31" si="25">AVERAGE(B2:B4)</f>
        <v>19</v>
      </c>
      <c r="D5" t="e">
        <v>#N/A</v>
      </c>
      <c r="E5" t="e">
        <v>#N/A</v>
      </c>
      <c r="F5">
        <f t="shared" si="0"/>
        <v>19</v>
      </c>
      <c r="G5">
        <f>B5-C5</f>
        <v>4</v>
      </c>
      <c r="H5">
        <f>ABS(G5)</f>
        <v>4</v>
      </c>
      <c r="I5">
        <f>G5*G5</f>
        <v>16</v>
      </c>
      <c r="J5">
        <f>ABS((G5/B5)*100)</f>
        <v>17.391304347826086</v>
      </c>
      <c r="W5">
        <f t="shared" si="1"/>
        <v>17.560000000000002</v>
      </c>
      <c r="X5">
        <f t="shared" si="2"/>
        <v>5.4399999999999977</v>
      </c>
      <c r="Y5">
        <f t="shared" si="3"/>
        <v>29.593599999999974</v>
      </c>
      <c r="Z5">
        <f t="shared" si="4"/>
        <v>18.040000000000003</v>
      </c>
      <c r="AA5">
        <f t="shared" si="5"/>
        <v>4.9599999999999973</v>
      </c>
      <c r="AB5">
        <f t="shared" si="6"/>
        <v>24.601599999999973</v>
      </c>
      <c r="AC5">
        <f t="shared" si="7"/>
        <v>18.439999999999998</v>
      </c>
      <c r="AD5">
        <f t="shared" si="8"/>
        <v>4.5600000000000023</v>
      </c>
      <c r="AE5">
        <f t="shared" si="9"/>
        <v>20.793600000000019</v>
      </c>
      <c r="AF5">
        <f t="shared" si="10"/>
        <v>18.760000000000002</v>
      </c>
      <c r="AG5">
        <f t="shared" si="11"/>
        <v>4.2399999999999984</v>
      </c>
      <c r="AH5">
        <f t="shared" si="12"/>
        <v>17.977599999999988</v>
      </c>
      <c r="AI5">
        <f t="shared" si="13"/>
        <v>19.16</v>
      </c>
      <c r="AJ5">
        <f t="shared" si="14"/>
        <v>3.84</v>
      </c>
      <c r="AK5">
        <f t="shared" si="15"/>
        <v>14.7456</v>
      </c>
      <c r="AL5">
        <f t="shared" si="16"/>
        <v>19.239999999999998</v>
      </c>
      <c r="AM5">
        <f t="shared" si="17"/>
        <v>3.7600000000000016</v>
      </c>
      <c r="AN5">
        <f t="shared" si="18"/>
        <v>14.137600000000011</v>
      </c>
      <c r="AO5">
        <f t="shared" si="19"/>
        <v>19.240000000000002</v>
      </c>
      <c r="AP5">
        <f t="shared" si="20"/>
        <v>3.759999999999998</v>
      </c>
      <c r="AQ5">
        <f t="shared" si="21"/>
        <v>14.137599999999985</v>
      </c>
      <c r="AR5">
        <f t="shared" si="22"/>
        <v>19.16</v>
      </c>
      <c r="AS5">
        <f t="shared" si="23"/>
        <v>3.84</v>
      </c>
      <c r="AT5">
        <f t="shared" si="24"/>
        <v>14.7456</v>
      </c>
    </row>
    <row r="6" spans="1:52" ht="16" x14ac:dyDescent="0.2">
      <c r="A6" s="2">
        <v>5</v>
      </c>
      <c r="B6" s="2">
        <v>18</v>
      </c>
      <c r="C6">
        <f t="shared" si="25"/>
        <v>21</v>
      </c>
      <c r="D6">
        <f t="shared" ref="D6:D31" si="26">AVERAGE(B2:B5)</f>
        <v>20</v>
      </c>
      <c r="E6" t="e">
        <v>#N/A</v>
      </c>
      <c r="F6">
        <f t="shared" si="0"/>
        <v>21</v>
      </c>
      <c r="G6">
        <f t="shared" ref="G6:G30" si="27">B6-C6</f>
        <v>-3</v>
      </c>
      <c r="H6">
        <f t="shared" ref="H6:H30" si="28">ABS(G6)</f>
        <v>3</v>
      </c>
      <c r="I6">
        <f t="shared" ref="I6:I30" si="29">G6*G6</f>
        <v>9</v>
      </c>
      <c r="J6">
        <f t="shared" ref="J6:J30" si="30">ABS((G6/B6)*100)</f>
        <v>16.666666666666664</v>
      </c>
      <c r="K6">
        <f>B6-D6</f>
        <v>-2</v>
      </c>
      <c r="L6">
        <f>ABS(K6)</f>
        <v>2</v>
      </c>
      <c r="M6">
        <f>K6*K6</f>
        <v>4</v>
      </c>
      <c r="N6">
        <f>ABS((K6/B6)*100)</f>
        <v>11.111111111111111</v>
      </c>
      <c r="W6">
        <f t="shared" si="1"/>
        <v>18.104000000000003</v>
      </c>
      <c r="X6">
        <f t="shared" si="2"/>
        <v>-0.10400000000000276</v>
      </c>
      <c r="Y6">
        <f t="shared" si="3"/>
        <v>1.0816000000000573E-2</v>
      </c>
      <c r="Z6">
        <f t="shared" si="4"/>
        <v>19.032000000000004</v>
      </c>
      <c r="AA6">
        <f t="shared" si="5"/>
        <v>-1.0320000000000036</v>
      </c>
      <c r="AB6">
        <f t="shared" si="6"/>
        <v>1.0650240000000073</v>
      </c>
      <c r="AC6">
        <f t="shared" si="7"/>
        <v>19.807999999999996</v>
      </c>
      <c r="AD6">
        <f t="shared" si="8"/>
        <v>-1.8079999999999963</v>
      </c>
      <c r="AE6">
        <f t="shared" si="9"/>
        <v>3.2688639999999864</v>
      </c>
      <c r="AF6">
        <f t="shared" si="10"/>
        <v>20.456000000000003</v>
      </c>
      <c r="AG6">
        <f t="shared" si="11"/>
        <v>-2.4560000000000031</v>
      </c>
      <c r="AH6">
        <f t="shared" si="12"/>
        <v>6.0319360000000151</v>
      </c>
      <c r="AI6">
        <f t="shared" si="13"/>
        <v>21.463999999999999</v>
      </c>
      <c r="AJ6">
        <f t="shared" si="14"/>
        <v>-3.4639999999999986</v>
      </c>
      <c r="AK6">
        <f t="shared" si="15"/>
        <v>11.99929599999999</v>
      </c>
      <c r="AL6">
        <f t="shared" si="16"/>
        <v>21.871999999999996</v>
      </c>
      <c r="AM6">
        <f t="shared" si="17"/>
        <v>-3.8719999999999963</v>
      </c>
      <c r="AN6">
        <f t="shared" si="18"/>
        <v>14.992383999999971</v>
      </c>
      <c r="AO6">
        <f t="shared" si="19"/>
        <v>22.248000000000005</v>
      </c>
      <c r="AP6">
        <f t="shared" si="20"/>
        <v>-4.2480000000000047</v>
      </c>
      <c r="AQ6">
        <f t="shared" si="21"/>
        <v>18.04550400000004</v>
      </c>
      <c r="AR6">
        <f t="shared" si="22"/>
        <v>22.616</v>
      </c>
      <c r="AS6">
        <f t="shared" si="23"/>
        <v>-4.6159999999999997</v>
      </c>
      <c r="AT6">
        <f t="shared" si="24"/>
        <v>21.307455999999998</v>
      </c>
    </row>
    <row r="7" spans="1:52" ht="16" x14ac:dyDescent="0.2">
      <c r="A7" s="2">
        <v>6</v>
      </c>
      <c r="B7" s="2">
        <v>16</v>
      </c>
      <c r="C7">
        <f t="shared" si="25"/>
        <v>20</v>
      </c>
      <c r="D7">
        <f t="shared" si="26"/>
        <v>20.25</v>
      </c>
      <c r="E7">
        <f t="shared" ref="E7:E31" si="31">AVERAGE(B2:B6)</f>
        <v>19.600000000000001</v>
      </c>
      <c r="F7">
        <f t="shared" si="0"/>
        <v>19.5</v>
      </c>
      <c r="G7">
        <f t="shared" si="27"/>
        <v>-4</v>
      </c>
      <c r="H7">
        <f t="shared" si="28"/>
        <v>4</v>
      </c>
      <c r="I7">
        <f t="shared" si="29"/>
        <v>16</v>
      </c>
      <c r="J7">
        <f>ABS((G7/B7)*100)</f>
        <v>25</v>
      </c>
      <c r="K7">
        <f t="shared" ref="K7:K30" si="32">B7-D7</f>
        <v>-4.25</v>
      </c>
      <c r="L7">
        <f t="shared" ref="L7:L30" si="33">ABS(K7)</f>
        <v>4.25</v>
      </c>
      <c r="M7">
        <f t="shared" ref="M7:M30" si="34">K7*K7</f>
        <v>18.0625</v>
      </c>
      <c r="N7">
        <f t="shared" ref="N7:N30" si="35">ABS((K7/B7)*100)</f>
        <v>26.5625</v>
      </c>
      <c r="O7">
        <f>B7-E7</f>
        <v>-3.6000000000000014</v>
      </c>
      <c r="P7">
        <f>ABS(O7)</f>
        <v>3.6000000000000014</v>
      </c>
      <c r="Q7">
        <f>O7*O7</f>
        <v>12.96000000000001</v>
      </c>
      <c r="R7">
        <f>ABS((O7/B7)*100)</f>
        <v>22.500000000000007</v>
      </c>
      <c r="W7">
        <f t="shared" si="1"/>
        <v>18.093600000000002</v>
      </c>
      <c r="X7">
        <f t="shared" si="2"/>
        <v>-2.0936000000000021</v>
      </c>
      <c r="Y7">
        <f t="shared" si="3"/>
        <v>4.3831609600000085</v>
      </c>
      <c r="Z7">
        <f t="shared" si="4"/>
        <v>18.825600000000005</v>
      </c>
      <c r="AA7">
        <f t="shared" si="5"/>
        <v>-2.825600000000005</v>
      </c>
      <c r="AB7">
        <f t="shared" si="6"/>
        <v>7.9840153600000283</v>
      </c>
      <c r="AC7">
        <f t="shared" si="7"/>
        <v>19.265599999999996</v>
      </c>
      <c r="AD7">
        <f t="shared" si="8"/>
        <v>-3.2655999999999956</v>
      </c>
      <c r="AE7">
        <f t="shared" si="9"/>
        <v>10.664143359999972</v>
      </c>
      <c r="AF7">
        <f t="shared" si="10"/>
        <v>19.473600000000001</v>
      </c>
      <c r="AG7">
        <f t="shared" si="11"/>
        <v>-3.4736000000000011</v>
      </c>
      <c r="AH7">
        <f t="shared" si="12"/>
        <v>12.065896960000007</v>
      </c>
      <c r="AI7">
        <f t="shared" si="13"/>
        <v>19.385599999999997</v>
      </c>
      <c r="AJ7">
        <f t="shared" si="14"/>
        <v>-3.3855999999999966</v>
      </c>
      <c r="AK7">
        <f t="shared" si="15"/>
        <v>11.462287359999976</v>
      </c>
      <c r="AL7">
        <f t="shared" si="16"/>
        <v>19.1616</v>
      </c>
      <c r="AM7">
        <f t="shared" si="17"/>
        <v>-3.1616</v>
      </c>
      <c r="AN7">
        <f t="shared" si="18"/>
        <v>9.9957145599999997</v>
      </c>
      <c r="AO7">
        <f t="shared" si="19"/>
        <v>18.849600000000002</v>
      </c>
      <c r="AP7">
        <f t="shared" si="20"/>
        <v>-2.8496000000000024</v>
      </c>
      <c r="AQ7">
        <f t="shared" si="21"/>
        <v>8.120220160000013</v>
      </c>
      <c r="AR7">
        <f t="shared" si="22"/>
        <v>18.461600000000001</v>
      </c>
      <c r="AS7">
        <f t="shared" si="23"/>
        <v>-2.4616000000000007</v>
      </c>
      <c r="AT7">
        <f t="shared" si="24"/>
        <v>6.0594745600000035</v>
      </c>
    </row>
    <row r="8" spans="1:52" ht="16" x14ac:dyDescent="0.2">
      <c r="A8" s="2">
        <v>7</v>
      </c>
      <c r="B8" s="2">
        <v>20</v>
      </c>
      <c r="C8">
        <f t="shared" si="25"/>
        <v>19</v>
      </c>
      <c r="D8">
        <f t="shared" si="26"/>
        <v>19</v>
      </c>
      <c r="E8">
        <f t="shared" si="31"/>
        <v>19.399999999999999</v>
      </c>
      <c r="F8">
        <f t="shared" si="0"/>
        <v>17.75</v>
      </c>
      <c r="G8">
        <f t="shared" si="27"/>
        <v>1</v>
      </c>
      <c r="H8">
        <f t="shared" si="28"/>
        <v>1</v>
      </c>
      <c r="I8">
        <f t="shared" si="29"/>
        <v>1</v>
      </c>
      <c r="J8">
        <f t="shared" si="30"/>
        <v>5</v>
      </c>
      <c r="K8">
        <f t="shared" si="32"/>
        <v>1</v>
      </c>
      <c r="L8">
        <f t="shared" si="33"/>
        <v>1</v>
      </c>
      <c r="M8">
        <f t="shared" si="34"/>
        <v>1</v>
      </c>
      <c r="N8">
        <f t="shared" si="35"/>
        <v>5</v>
      </c>
      <c r="O8">
        <f t="shared" ref="O8:O30" si="36">B8-E8</f>
        <v>0.60000000000000142</v>
      </c>
      <c r="P8">
        <f t="shared" ref="P8:P30" si="37">ABS(O8)</f>
        <v>0.60000000000000142</v>
      </c>
      <c r="Q8">
        <f t="shared" ref="Q8:Q30" si="38">O8*O8</f>
        <v>0.36000000000000171</v>
      </c>
      <c r="R8">
        <f t="shared" ref="R8:R30" si="39">ABS((O8/B8)*100)</f>
        <v>3.0000000000000071</v>
      </c>
      <c r="W8">
        <f t="shared" si="1"/>
        <v>17.884240000000005</v>
      </c>
      <c r="X8">
        <f t="shared" si="2"/>
        <v>2.1157599999999945</v>
      </c>
      <c r="Y8">
        <f t="shared" si="3"/>
        <v>4.4764403775999773</v>
      </c>
      <c r="Z8">
        <f t="shared" si="4"/>
        <v>18.260480000000005</v>
      </c>
      <c r="AA8">
        <f t="shared" si="5"/>
        <v>1.7395199999999953</v>
      </c>
      <c r="AB8">
        <f t="shared" si="6"/>
        <v>3.0259298303999835</v>
      </c>
      <c r="AC8">
        <f t="shared" si="7"/>
        <v>18.285919999999997</v>
      </c>
      <c r="AD8">
        <f t="shared" si="8"/>
        <v>1.7140800000000027</v>
      </c>
      <c r="AE8">
        <f t="shared" si="9"/>
        <v>2.9380702464000095</v>
      </c>
      <c r="AF8">
        <f t="shared" si="10"/>
        <v>18.084160000000001</v>
      </c>
      <c r="AG8">
        <f t="shared" si="11"/>
        <v>1.9158399999999993</v>
      </c>
      <c r="AH8">
        <f t="shared" si="12"/>
        <v>3.6704429055999972</v>
      </c>
      <c r="AI8">
        <f t="shared" si="13"/>
        <v>17.354239999999997</v>
      </c>
      <c r="AJ8">
        <f t="shared" si="14"/>
        <v>2.6457600000000028</v>
      </c>
      <c r="AK8">
        <f t="shared" si="15"/>
        <v>7.0000459776000143</v>
      </c>
      <c r="AL8">
        <f t="shared" si="16"/>
        <v>16.94848</v>
      </c>
      <c r="AM8">
        <f t="shared" si="17"/>
        <v>3.05152</v>
      </c>
      <c r="AN8">
        <f t="shared" si="18"/>
        <v>9.3117743104000006</v>
      </c>
      <c r="AO8">
        <f t="shared" si="19"/>
        <v>16.569920000000003</v>
      </c>
      <c r="AP8">
        <f t="shared" si="20"/>
        <v>3.4300799999999967</v>
      </c>
      <c r="AQ8">
        <f t="shared" si="21"/>
        <v>11.765448806399977</v>
      </c>
      <c r="AR8">
        <f t="shared" si="22"/>
        <v>16.24616</v>
      </c>
      <c r="AS8">
        <f t="shared" si="23"/>
        <v>3.7538400000000003</v>
      </c>
      <c r="AT8">
        <f t="shared" si="24"/>
        <v>14.091314745600002</v>
      </c>
    </row>
    <row r="9" spans="1:52" ht="16" x14ac:dyDescent="0.2">
      <c r="A9" s="2">
        <v>8</v>
      </c>
      <c r="B9" s="2">
        <v>18</v>
      </c>
      <c r="C9">
        <f t="shared" si="25"/>
        <v>18</v>
      </c>
      <c r="D9">
        <f t="shared" si="26"/>
        <v>19.25</v>
      </c>
      <c r="E9">
        <f t="shared" si="31"/>
        <v>19.2</v>
      </c>
      <c r="F9">
        <f t="shared" si="0"/>
        <v>18.875</v>
      </c>
      <c r="G9">
        <f t="shared" si="27"/>
        <v>0</v>
      </c>
      <c r="H9">
        <f t="shared" si="28"/>
        <v>0</v>
      </c>
      <c r="I9">
        <f t="shared" si="29"/>
        <v>0</v>
      </c>
      <c r="J9">
        <f t="shared" si="30"/>
        <v>0</v>
      </c>
      <c r="K9">
        <f t="shared" si="32"/>
        <v>-1.25</v>
      </c>
      <c r="L9">
        <f t="shared" si="33"/>
        <v>1.25</v>
      </c>
      <c r="M9">
        <f t="shared" si="34"/>
        <v>1.5625</v>
      </c>
      <c r="N9">
        <f t="shared" si="35"/>
        <v>6.9444444444444446</v>
      </c>
      <c r="O9">
        <f t="shared" si="36"/>
        <v>-1.1999999999999993</v>
      </c>
      <c r="P9">
        <f t="shared" si="37"/>
        <v>1.1999999999999993</v>
      </c>
      <c r="Q9">
        <f t="shared" si="38"/>
        <v>1.4399999999999984</v>
      </c>
      <c r="R9">
        <f t="shared" si="39"/>
        <v>6.6666666666666625</v>
      </c>
      <c r="W9">
        <f t="shared" si="1"/>
        <v>18.095816000000006</v>
      </c>
      <c r="X9">
        <f t="shared" si="2"/>
        <v>-9.5816000000006341E-2</v>
      </c>
      <c r="Y9">
        <f t="shared" si="3"/>
        <v>9.1807058560012152E-3</v>
      </c>
      <c r="Z9">
        <f t="shared" si="4"/>
        <v>18.608384000000004</v>
      </c>
      <c r="AA9">
        <f t="shared" si="5"/>
        <v>-0.60838400000000448</v>
      </c>
      <c r="AB9">
        <f t="shared" si="6"/>
        <v>0.37013109145600542</v>
      </c>
      <c r="AC9">
        <f t="shared" si="7"/>
        <v>18.800143999999996</v>
      </c>
      <c r="AD9">
        <f t="shared" si="8"/>
        <v>-0.80014399999999597</v>
      </c>
      <c r="AE9">
        <f t="shared" si="9"/>
        <v>0.64023042073599357</v>
      </c>
      <c r="AF9">
        <f t="shared" si="10"/>
        <v>18.850496</v>
      </c>
      <c r="AG9">
        <f t="shared" si="11"/>
        <v>-0.8504959999999997</v>
      </c>
      <c r="AH9">
        <f t="shared" si="12"/>
        <v>0.72334344601599954</v>
      </c>
      <c r="AI9">
        <f t="shared" si="13"/>
        <v>18.941696</v>
      </c>
      <c r="AJ9">
        <f t="shared" si="14"/>
        <v>-0.94169600000000031</v>
      </c>
      <c r="AK9">
        <f t="shared" si="15"/>
        <v>0.8867913564160006</v>
      </c>
      <c r="AL9">
        <f t="shared" si="16"/>
        <v>19.084544000000001</v>
      </c>
      <c r="AM9">
        <f t="shared" si="17"/>
        <v>-1.0845440000000011</v>
      </c>
      <c r="AN9">
        <f t="shared" si="18"/>
        <v>1.1762356879360023</v>
      </c>
      <c r="AO9">
        <f t="shared" si="19"/>
        <v>19.313984000000001</v>
      </c>
      <c r="AP9">
        <f t="shared" si="20"/>
        <v>-1.3139840000000014</v>
      </c>
      <c r="AQ9">
        <f t="shared" si="21"/>
        <v>1.7265539522560036</v>
      </c>
      <c r="AR9">
        <f t="shared" si="22"/>
        <v>19.624616</v>
      </c>
      <c r="AS9">
        <f t="shared" si="23"/>
        <v>-1.6246159999999996</v>
      </c>
      <c r="AT9">
        <f t="shared" si="24"/>
        <v>2.6393771474559986</v>
      </c>
    </row>
    <row r="10" spans="1:52" ht="16" x14ac:dyDescent="0.2">
      <c r="A10" s="2">
        <v>9</v>
      </c>
      <c r="B10" s="2">
        <v>22</v>
      </c>
      <c r="C10">
        <f t="shared" si="25"/>
        <v>18</v>
      </c>
      <c r="D10">
        <f t="shared" si="26"/>
        <v>18</v>
      </c>
      <c r="E10">
        <f t="shared" si="31"/>
        <v>19</v>
      </c>
      <c r="F10">
        <f t="shared" si="0"/>
        <v>18.4375</v>
      </c>
      <c r="G10">
        <f t="shared" si="27"/>
        <v>4</v>
      </c>
      <c r="H10">
        <f t="shared" si="28"/>
        <v>4</v>
      </c>
      <c r="I10">
        <f t="shared" si="29"/>
        <v>16</v>
      </c>
      <c r="J10">
        <f t="shared" si="30"/>
        <v>18.181818181818183</v>
      </c>
      <c r="K10">
        <f t="shared" si="32"/>
        <v>4</v>
      </c>
      <c r="L10">
        <f t="shared" si="33"/>
        <v>4</v>
      </c>
      <c r="M10">
        <f t="shared" si="34"/>
        <v>16</v>
      </c>
      <c r="N10">
        <f t="shared" si="35"/>
        <v>18.181818181818183</v>
      </c>
      <c r="O10">
        <f t="shared" si="36"/>
        <v>3</v>
      </c>
      <c r="P10">
        <f t="shared" si="37"/>
        <v>3</v>
      </c>
      <c r="Q10">
        <f t="shared" si="38"/>
        <v>9</v>
      </c>
      <c r="R10">
        <f t="shared" si="39"/>
        <v>13.636363636363635</v>
      </c>
      <c r="W10">
        <f t="shared" si="1"/>
        <v>18.086234400000006</v>
      </c>
      <c r="X10">
        <f t="shared" si="2"/>
        <v>3.9137655999999943</v>
      </c>
      <c r="Y10">
        <f t="shared" si="3"/>
        <v>15.317561171743316</v>
      </c>
      <c r="Z10">
        <f t="shared" si="4"/>
        <v>18.486707200000005</v>
      </c>
      <c r="AA10">
        <f t="shared" si="5"/>
        <v>3.513292799999995</v>
      </c>
      <c r="AB10">
        <f t="shared" si="6"/>
        <v>12.343226298531805</v>
      </c>
      <c r="AC10">
        <f t="shared" si="7"/>
        <v>18.560100799999997</v>
      </c>
      <c r="AD10">
        <f t="shared" si="8"/>
        <v>3.4398992000000028</v>
      </c>
      <c r="AE10">
        <f t="shared" si="9"/>
        <v>11.83290650616066</v>
      </c>
      <c r="AF10">
        <f t="shared" si="10"/>
        <v>18.510297600000001</v>
      </c>
      <c r="AG10">
        <f t="shared" si="11"/>
        <v>3.4897023999999988</v>
      </c>
      <c r="AH10">
        <f t="shared" si="12"/>
        <v>12.178022840565751</v>
      </c>
      <c r="AI10">
        <f t="shared" si="13"/>
        <v>18.376678399999999</v>
      </c>
      <c r="AJ10">
        <f t="shared" si="14"/>
        <v>3.6233216000000006</v>
      </c>
      <c r="AK10">
        <f t="shared" si="15"/>
        <v>13.128459417026564</v>
      </c>
      <c r="AL10">
        <f t="shared" si="16"/>
        <v>18.325363199999998</v>
      </c>
      <c r="AM10">
        <f t="shared" si="17"/>
        <v>3.6746368000000018</v>
      </c>
      <c r="AN10">
        <f t="shared" si="18"/>
        <v>13.502955611914253</v>
      </c>
      <c r="AO10">
        <f t="shared" si="19"/>
        <v>18.2627968</v>
      </c>
      <c r="AP10">
        <f t="shared" si="20"/>
        <v>3.7372031999999997</v>
      </c>
      <c r="AQ10">
        <f t="shared" si="21"/>
        <v>13.966687758090238</v>
      </c>
      <c r="AR10">
        <f t="shared" si="22"/>
        <v>18.1624616</v>
      </c>
      <c r="AS10">
        <f t="shared" si="23"/>
        <v>3.8375383999999997</v>
      </c>
      <c r="AT10">
        <f t="shared" si="24"/>
        <v>14.726700971474557</v>
      </c>
    </row>
    <row r="11" spans="1:52" ht="16" x14ac:dyDescent="0.2">
      <c r="A11" s="2">
        <v>10</v>
      </c>
      <c r="B11" s="2">
        <v>20</v>
      </c>
      <c r="C11">
        <f t="shared" si="25"/>
        <v>20</v>
      </c>
      <c r="D11">
        <f t="shared" si="26"/>
        <v>19</v>
      </c>
      <c r="E11">
        <f t="shared" si="31"/>
        <v>18.8</v>
      </c>
      <c r="F11">
        <f t="shared" si="0"/>
        <v>20.21875</v>
      </c>
      <c r="G11">
        <f t="shared" si="27"/>
        <v>0</v>
      </c>
      <c r="H11">
        <f t="shared" si="28"/>
        <v>0</v>
      </c>
      <c r="I11">
        <f t="shared" si="29"/>
        <v>0</v>
      </c>
      <c r="J11">
        <f t="shared" si="30"/>
        <v>0</v>
      </c>
      <c r="K11">
        <f t="shared" si="32"/>
        <v>1</v>
      </c>
      <c r="L11">
        <f t="shared" si="33"/>
        <v>1</v>
      </c>
      <c r="M11">
        <f t="shared" si="34"/>
        <v>1</v>
      </c>
      <c r="N11">
        <f t="shared" si="35"/>
        <v>5</v>
      </c>
      <c r="O11">
        <f t="shared" si="36"/>
        <v>1.1999999999999993</v>
      </c>
      <c r="P11">
        <f t="shared" si="37"/>
        <v>1.1999999999999993</v>
      </c>
      <c r="Q11">
        <f t="shared" si="38"/>
        <v>1.4399999999999984</v>
      </c>
      <c r="R11">
        <f t="shared" si="39"/>
        <v>5.9999999999999964</v>
      </c>
      <c r="W11">
        <f t="shared" si="1"/>
        <v>18.477610960000003</v>
      </c>
      <c r="X11">
        <f t="shared" si="2"/>
        <v>1.5223890399999966</v>
      </c>
      <c r="Y11">
        <f t="shared" si="3"/>
        <v>2.3176683891121113</v>
      </c>
      <c r="Z11">
        <f t="shared" si="4"/>
        <v>19.189365760000005</v>
      </c>
      <c r="AA11">
        <f t="shared" si="5"/>
        <v>0.81063423999999529</v>
      </c>
      <c r="AB11">
        <f t="shared" si="6"/>
        <v>0.65712787106036996</v>
      </c>
      <c r="AC11">
        <f t="shared" si="7"/>
        <v>19.592070559999996</v>
      </c>
      <c r="AD11">
        <f t="shared" si="8"/>
        <v>0.40792944000000375</v>
      </c>
      <c r="AE11">
        <f t="shared" si="9"/>
        <v>0.16640642801871666</v>
      </c>
      <c r="AF11">
        <f t="shared" si="10"/>
        <v>19.906178560000001</v>
      </c>
      <c r="AG11">
        <f t="shared" si="11"/>
        <v>9.3821439999999257E-2</v>
      </c>
      <c r="AH11">
        <f t="shared" si="12"/>
        <v>8.8024626036734607E-3</v>
      </c>
      <c r="AI11">
        <f t="shared" si="13"/>
        <v>20.550671359999999</v>
      </c>
      <c r="AJ11">
        <f t="shared" si="14"/>
        <v>-0.55067135999999905</v>
      </c>
      <c r="AK11">
        <f t="shared" si="15"/>
        <v>0.30323894672424856</v>
      </c>
      <c r="AL11">
        <f t="shared" si="16"/>
        <v>20.897608959999999</v>
      </c>
      <c r="AM11">
        <f t="shared" si="17"/>
        <v>-0.89760895999999946</v>
      </c>
      <c r="AN11">
        <f t="shared" si="18"/>
        <v>0.8057018450722806</v>
      </c>
      <c r="AO11">
        <f t="shared" si="19"/>
        <v>21.252559360000003</v>
      </c>
      <c r="AP11">
        <f t="shared" si="20"/>
        <v>-1.2525593600000029</v>
      </c>
      <c r="AQ11">
        <f t="shared" si="21"/>
        <v>1.5689049503236168</v>
      </c>
      <c r="AR11">
        <f t="shared" si="22"/>
        <v>21.616246159999999</v>
      </c>
      <c r="AS11">
        <f t="shared" si="23"/>
        <v>-1.6162461599999993</v>
      </c>
      <c r="AT11">
        <f t="shared" si="24"/>
        <v>2.6122516497147434</v>
      </c>
    </row>
    <row r="12" spans="1:52" ht="16" x14ac:dyDescent="0.2">
      <c r="A12" s="2">
        <v>11</v>
      </c>
      <c r="B12" s="2">
        <v>15</v>
      </c>
      <c r="C12">
        <f t="shared" si="25"/>
        <v>20</v>
      </c>
      <c r="D12">
        <f t="shared" si="26"/>
        <v>20</v>
      </c>
      <c r="E12">
        <f t="shared" si="31"/>
        <v>19.2</v>
      </c>
      <c r="F12">
        <f t="shared" si="0"/>
        <v>20.109375</v>
      </c>
      <c r="G12">
        <f t="shared" si="27"/>
        <v>-5</v>
      </c>
      <c r="H12">
        <f t="shared" si="28"/>
        <v>5</v>
      </c>
      <c r="I12">
        <f t="shared" si="29"/>
        <v>25</v>
      </c>
      <c r="J12">
        <f t="shared" si="30"/>
        <v>33.333333333333329</v>
      </c>
      <c r="K12">
        <f t="shared" si="32"/>
        <v>-5</v>
      </c>
      <c r="L12">
        <f t="shared" si="33"/>
        <v>5</v>
      </c>
      <c r="M12">
        <f t="shared" si="34"/>
        <v>25</v>
      </c>
      <c r="N12">
        <f t="shared" si="35"/>
        <v>33.333333333333329</v>
      </c>
      <c r="O12">
        <f t="shared" si="36"/>
        <v>-4.1999999999999993</v>
      </c>
      <c r="P12">
        <f t="shared" si="37"/>
        <v>4.1999999999999993</v>
      </c>
      <c r="Q12">
        <f t="shared" si="38"/>
        <v>17.639999999999993</v>
      </c>
      <c r="R12">
        <f t="shared" si="39"/>
        <v>27.999999999999996</v>
      </c>
      <c r="W12">
        <f t="shared" si="1"/>
        <v>18.629849864000004</v>
      </c>
      <c r="X12">
        <f t="shared" si="2"/>
        <v>-3.6298498640000041</v>
      </c>
      <c r="Y12">
        <f t="shared" si="3"/>
        <v>13.175810035180849</v>
      </c>
      <c r="Z12">
        <f t="shared" si="4"/>
        <v>19.351492608000004</v>
      </c>
      <c r="AA12">
        <f t="shared" si="5"/>
        <v>-4.3514926080000045</v>
      </c>
      <c r="AB12">
        <f t="shared" si="6"/>
        <v>18.935487917478682</v>
      </c>
      <c r="AC12">
        <f t="shared" si="7"/>
        <v>19.714449391999999</v>
      </c>
      <c r="AD12">
        <f t="shared" si="8"/>
        <v>-4.7144493919999988</v>
      </c>
      <c r="AE12">
        <f t="shared" si="9"/>
        <v>22.226033069729159</v>
      </c>
      <c r="AF12">
        <f t="shared" si="10"/>
        <v>19.943707136</v>
      </c>
      <c r="AG12">
        <f t="shared" si="11"/>
        <v>-4.9437071360000004</v>
      </c>
      <c r="AH12">
        <f t="shared" si="12"/>
        <v>24.440240246537329</v>
      </c>
      <c r="AI12">
        <f t="shared" si="13"/>
        <v>20.220268544</v>
      </c>
      <c r="AJ12">
        <f t="shared" si="14"/>
        <v>-5.2202685439999996</v>
      </c>
      <c r="AK12">
        <f t="shared" si="15"/>
        <v>27.251203671475874</v>
      </c>
      <c r="AL12">
        <f t="shared" si="16"/>
        <v>20.269282688000001</v>
      </c>
      <c r="AM12">
        <f t="shared" si="17"/>
        <v>-5.2692826880000005</v>
      </c>
      <c r="AN12">
        <f t="shared" si="18"/>
        <v>27.765340046056512</v>
      </c>
      <c r="AO12">
        <f t="shared" si="19"/>
        <v>20.250511872000001</v>
      </c>
      <c r="AP12">
        <f t="shared" si="20"/>
        <v>-5.2505118720000006</v>
      </c>
      <c r="AQ12">
        <f t="shared" si="21"/>
        <v>27.567874918012951</v>
      </c>
      <c r="AR12">
        <f t="shared" si="22"/>
        <v>20.161624616000001</v>
      </c>
      <c r="AS12">
        <f t="shared" si="23"/>
        <v>-5.161624616000001</v>
      </c>
      <c r="AT12">
        <f t="shared" si="24"/>
        <v>26.642368676497156</v>
      </c>
    </row>
    <row r="13" spans="1:52" ht="16" x14ac:dyDescent="0.2">
      <c r="A13" s="2">
        <v>12</v>
      </c>
      <c r="B13" s="2">
        <v>20</v>
      </c>
      <c r="C13">
        <f t="shared" si="25"/>
        <v>19</v>
      </c>
      <c r="D13">
        <f t="shared" si="26"/>
        <v>18.75</v>
      </c>
      <c r="E13">
        <f t="shared" si="31"/>
        <v>19</v>
      </c>
      <c r="F13">
        <f t="shared" si="0"/>
        <v>17.5546875</v>
      </c>
      <c r="G13">
        <f t="shared" si="27"/>
        <v>1</v>
      </c>
      <c r="H13">
        <f t="shared" si="28"/>
        <v>1</v>
      </c>
      <c r="I13">
        <f t="shared" si="29"/>
        <v>1</v>
      </c>
      <c r="J13">
        <f t="shared" si="30"/>
        <v>5</v>
      </c>
      <c r="K13">
        <f t="shared" si="32"/>
        <v>1.25</v>
      </c>
      <c r="L13">
        <f t="shared" si="33"/>
        <v>1.25</v>
      </c>
      <c r="M13">
        <f t="shared" si="34"/>
        <v>1.5625</v>
      </c>
      <c r="N13">
        <f t="shared" si="35"/>
        <v>6.25</v>
      </c>
      <c r="O13">
        <f t="shared" si="36"/>
        <v>1</v>
      </c>
      <c r="P13">
        <f t="shared" si="37"/>
        <v>1</v>
      </c>
      <c r="Q13">
        <f t="shared" si="38"/>
        <v>1</v>
      </c>
      <c r="R13">
        <f t="shared" si="39"/>
        <v>5</v>
      </c>
      <c r="W13">
        <f t="shared" si="1"/>
        <v>18.266864877600003</v>
      </c>
      <c r="X13">
        <f t="shared" si="2"/>
        <v>1.7331351223999967</v>
      </c>
      <c r="Y13">
        <f t="shared" si="3"/>
        <v>3.0037573524964514</v>
      </c>
      <c r="Z13">
        <f t="shared" si="4"/>
        <v>18.481194086400002</v>
      </c>
      <c r="AA13">
        <f t="shared" si="5"/>
        <v>1.5188059135999978</v>
      </c>
      <c r="AB13">
        <f t="shared" si="6"/>
        <v>2.3067714031863242</v>
      </c>
      <c r="AC13">
        <f t="shared" si="7"/>
        <v>18.300114574399998</v>
      </c>
      <c r="AD13">
        <f t="shared" si="8"/>
        <v>1.6998854256000016</v>
      </c>
      <c r="AE13">
        <f t="shared" si="9"/>
        <v>2.8896104601672983</v>
      </c>
      <c r="AF13">
        <f t="shared" si="10"/>
        <v>17.966224281599999</v>
      </c>
      <c r="AG13">
        <f t="shared" si="11"/>
        <v>2.0337757184000012</v>
      </c>
      <c r="AH13">
        <f t="shared" si="12"/>
        <v>4.1362436727534408</v>
      </c>
      <c r="AI13">
        <f t="shared" si="13"/>
        <v>17.0881074176</v>
      </c>
      <c r="AJ13">
        <f t="shared" si="14"/>
        <v>2.9118925824000002</v>
      </c>
      <c r="AK13">
        <f t="shared" si="15"/>
        <v>8.4791184114361418</v>
      </c>
      <c r="AL13">
        <f t="shared" si="16"/>
        <v>16.580784806400001</v>
      </c>
      <c r="AM13">
        <f t="shared" si="17"/>
        <v>3.4192151935999995</v>
      </c>
      <c r="AN13">
        <f t="shared" si="18"/>
        <v>11.691032540145082</v>
      </c>
      <c r="AO13">
        <f t="shared" si="19"/>
        <v>16.050102374400002</v>
      </c>
      <c r="AP13">
        <f t="shared" si="20"/>
        <v>3.9498976255999985</v>
      </c>
      <c r="AQ13">
        <f t="shared" si="21"/>
        <v>15.601691252720506</v>
      </c>
      <c r="AR13">
        <f t="shared" si="22"/>
        <v>15.5161624616</v>
      </c>
      <c r="AS13">
        <f t="shared" si="23"/>
        <v>4.4838375383999995</v>
      </c>
      <c r="AT13">
        <f t="shared" si="24"/>
        <v>20.104799070764969</v>
      </c>
    </row>
    <row r="14" spans="1:52" ht="16" x14ac:dyDescent="0.2">
      <c r="A14" s="2">
        <v>13</v>
      </c>
      <c r="B14" s="2">
        <v>20</v>
      </c>
      <c r="C14">
        <f t="shared" si="25"/>
        <v>18.333333333333332</v>
      </c>
      <c r="D14">
        <f t="shared" si="26"/>
        <v>19.25</v>
      </c>
      <c r="E14">
        <f t="shared" si="31"/>
        <v>19</v>
      </c>
      <c r="F14">
        <f t="shared" si="0"/>
        <v>18.77734375</v>
      </c>
      <c r="G14">
        <f t="shared" si="27"/>
        <v>1.6666666666666679</v>
      </c>
      <c r="H14">
        <f t="shared" si="28"/>
        <v>1.6666666666666679</v>
      </c>
      <c r="I14">
        <f t="shared" si="29"/>
        <v>2.7777777777777817</v>
      </c>
      <c r="J14">
        <f t="shared" si="30"/>
        <v>8.3333333333333393</v>
      </c>
      <c r="K14">
        <f t="shared" si="32"/>
        <v>0.75</v>
      </c>
      <c r="L14">
        <f t="shared" si="33"/>
        <v>0.75</v>
      </c>
      <c r="M14">
        <f t="shared" si="34"/>
        <v>0.5625</v>
      </c>
      <c r="N14">
        <f t="shared" si="35"/>
        <v>3.75</v>
      </c>
      <c r="O14">
        <f t="shared" si="36"/>
        <v>1</v>
      </c>
      <c r="P14">
        <f t="shared" si="37"/>
        <v>1</v>
      </c>
      <c r="Q14">
        <f t="shared" si="38"/>
        <v>1</v>
      </c>
      <c r="R14">
        <f t="shared" si="39"/>
        <v>5</v>
      </c>
      <c r="W14">
        <f t="shared" si="1"/>
        <v>18.440178389840003</v>
      </c>
      <c r="X14">
        <f t="shared" si="2"/>
        <v>1.5598216101599967</v>
      </c>
      <c r="Y14">
        <f t="shared" si="3"/>
        <v>2.4330434555221245</v>
      </c>
      <c r="Z14">
        <f t="shared" si="4"/>
        <v>18.784955269120005</v>
      </c>
      <c r="AA14">
        <f t="shared" si="5"/>
        <v>1.2150447308799954</v>
      </c>
      <c r="AB14">
        <f t="shared" si="6"/>
        <v>1.4763336980392405</v>
      </c>
      <c r="AC14">
        <f t="shared" si="7"/>
        <v>18.810080202079998</v>
      </c>
      <c r="AD14">
        <f t="shared" si="8"/>
        <v>1.1899197979200018</v>
      </c>
      <c r="AE14">
        <f t="shared" si="9"/>
        <v>1.415909125481978</v>
      </c>
      <c r="AF14">
        <f t="shared" si="10"/>
        <v>18.779734568959999</v>
      </c>
      <c r="AG14">
        <f t="shared" si="11"/>
        <v>1.2202654310400014</v>
      </c>
      <c r="AH14">
        <f t="shared" si="12"/>
        <v>1.4890477221912404</v>
      </c>
      <c r="AI14">
        <f t="shared" si="13"/>
        <v>18.835242967039999</v>
      </c>
      <c r="AJ14">
        <f t="shared" si="14"/>
        <v>1.1647570329600008</v>
      </c>
      <c r="AK14">
        <f t="shared" si="15"/>
        <v>1.3566589458297844</v>
      </c>
      <c r="AL14">
        <f t="shared" si="16"/>
        <v>18.974235441920001</v>
      </c>
      <c r="AM14">
        <f t="shared" si="17"/>
        <v>1.0257645580799988</v>
      </c>
      <c r="AN14">
        <f t="shared" si="18"/>
        <v>1.0521929286130551</v>
      </c>
      <c r="AO14">
        <f t="shared" si="19"/>
        <v>19.21002047488</v>
      </c>
      <c r="AP14">
        <f t="shared" si="20"/>
        <v>0.78997952511999969</v>
      </c>
      <c r="AQ14">
        <f t="shared" si="21"/>
        <v>0.62406765010882026</v>
      </c>
      <c r="AR14">
        <f t="shared" si="22"/>
        <v>19.551616246160002</v>
      </c>
      <c r="AS14">
        <f t="shared" si="23"/>
        <v>0.44838375383999818</v>
      </c>
      <c r="AT14">
        <f t="shared" si="24"/>
        <v>0.20104799070764809</v>
      </c>
    </row>
    <row r="15" spans="1:52" ht="16" x14ac:dyDescent="0.2">
      <c r="A15" s="2">
        <v>14</v>
      </c>
      <c r="B15" s="2">
        <v>17</v>
      </c>
      <c r="C15">
        <f t="shared" si="25"/>
        <v>18.333333333333332</v>
      </c>
      <c r="D15">
        <f t="shared" si="26"/>
        <v>18.75</v>
      </c>
      <c r="E15">
        <f t="shared" si="31"/>
        <v>19.399999999999999</v>
      </c>
      <c r="F15">
        <f t="shared" si="0"/>
        <v>19.388671875</v>
      </c>
      <c r="G15">
        <f t="shared" si="27"/>
        <v>-1.3333333333333321</v>
      </c>
      <c r="H15">
        <f t="shared" si="28"/>
        <v>1.3333333333333321</v>
      </c>
      <c r="I15">
        <f t="shared" si="29"/>
        <v>1.7777777777777746</v>
      </c>
      <c r="J15">
        <f t="shared" si="30"/>
        <v>7.8431372549019533</v>
      </c>
      <c r="K15">
        <f t="shared" si="32"/>
        <v>-1.75</v>
      </c>
      <c r="L15">
        <f t="shared" si="33"/>
        <v>1.75</v>
      </c>
      <c r="M15">
        <f t="shared" si="34"/>
        <v>3.0625</v>
      </c>
      <c r="N15">
        <f t="shared" si="35"/>
        <v>10.294117647058822</v>
      </c>
      <c r="O15">
        <f t="shared" si="36"/>
        <v>-2.3999999999999986</v>
      </c>
      <c r="P15">
        <f t="shared" si="37"/>
        <v>2.3999999999999986</v>
      </c>
      <c r="Q15">
        <f t="shared" si="38"/>
        <v>5.7599999999999936</v>
      </c>
      <c r="R15">
        <f t="shared" si="39"/>
        <v>14.11764705882352</v>
      </c>
      <c r="W15">
        <f t="shared" si="1"/>
        <v>18.596160550856002</v>
      </c>
      <c r="X15">
        <f t="shared" si="2"/>
        <v>-1.5961605508560019</v>
      </c>
      <c r="Y15">
        <f t="shared" si="3"/>
        <v>2.5477285041089357</v>
      </c>
      <c r="Z15">
        <f t="shared" si="4"/>
        <v>19.027964215296002</v>
      </c>
      <c r="AA15">
        <f t="shared" si="5"/>
        <v>-2.0279642152960022</v>
      </c>
      <c r="AB15">
        <f t="shared" si="6"/>
        <v>4.1126388585211302</v>
      </c>
      <c r="AC15">
        <f t="shared" si="7"/>
        <v>19.167056141455998</v>
      </c>
      <c r="AD15">
        <f t="shared" si="8"/>
        <v>-2.1670561414559977</v>
      </c>
      <c r="AE15">
        <f t="shared" si="9"/>
        <v>4.6961323202221568</v>
      </c>
      <c r="AF15">
        <f t="shared" si="10"/>
        <v>19.267840741375998</v>
      </c>
      <c r="AG15">
        <f t="shared" si="11"/>
        <v>-2.2678407413759984</v>
      </c>
      <c r="AH15">
        <f t="shared" si="12"/>
        <v>5.1431016282448381</v>
      </c>
      <c r="AI15">
        <f t="shared" si="13"/>
        <v>19.534097186815998</v>
      </c>
      <c r="AJ15">
        <f t="shared" si="14"/>
        <v>-2.5340971868159983</v>
      </c>
      <c r="AK15">
        <f t="shared" si="15"/>
        <v>6.4216485522287563</v>
      </c>
      <c r="AL15">
        <f t="shared" si="16"/>
        <v>19.692270632576001</v>
      </c>
      <c r="AM15">
        <f t="shared" si="17"/>
        <v>-2.6922706325760011</v>
      </c>
      <c r="AN15">
        <f t="shared" si="18"/>
        <v>7.2483211590311809</v>
      </c>
      <c r="AO15">
        <f t="shared" si="19"/>
        <v>19.842004094976001</v>
      </c>
      <c r="AP15">
        <f t="shared" si="20"/>
        <v>-2.8420040949760015</v>
      </c>
      <c r="AQ15">
        <f t="shared" si="21"/>
        <v>8.0769872758603611</v>
      </c>
      <c r="AR15">
        <f t="shared" si="22"/>
        <v>19.955161624616</v>
      </c>
      <c r="AS15">
        <f t="shared" si="23"/>
        <v>-2.9551616246160002</v>
      </c>
      <c r="AT15">
        <f t="shared" si="24"/>
        <v>8.7329802276030772</v>
      </c>
    </row>
    <row r="16" spans="1:52" ht="16" x14ac:dyDescent="0.2">
      <c r="A16" s="2">
        <v>15</v>
      </c>
      <c r="B16" s="2">
        <v>24</v>
      </c>
      <c r="C16">
        <f t="shared" si="25"/>
        <v>19</v>
      </c>
      <c r="D16">
        <f t="shared" si="26"/>
        <v>18</v>
      </c>
      <c r="E16">
        <f t="shared" si="31"/>
        <v>18.399999999999999</v>
      </c>
      <c r="F16">
        <f t="shared" si="0"/>
        <v>18.1943359375</v>
      </c>
      <c r="G16">
        <f t="shared" si="27"/>
        <v>5</v>
      </c>
      <c r="H16">
        <f t="shared" si="28"/>
        <v>5</v>
      </c>
      <c r="I16">
        <f t="shared" si="29"/>
        <v>25</v>
      </c>
      <c r="J16">
        <f t="shared" si="30"/>
        <v>20.833333333333336</v>
      </c>
      <c r="K16">
        <f t="shared" si="32"/>
        <v>6</v>
      </c>
      <c r="L16">
        <f t="shared" si="33"/>
        <v>6</v>
      </c>
      <c r="M16">
        <f t="shared" si="34"/>
        <v>36</v>
      </c>
      <c r="N16">
        <f t="shared" si="35"/>
        <v>25</v>
      </c>
      <c r="O16">
        <f t="shared" si="36"/>
        <v>5.6000000000000014</v>
      </c>
      <c r="P16">
        <f t="shared" si="37"/>
        <v>5.6000000000000014</v>
      </c>
      <c r="Q16">
        <f t="shared" si="38"/>
        <v>31.360000000000017</v>
      </c>
      <c r="R16">
        <f t="shared" si="39"/>
        <v>23.333333333333339</v>
      </c>
      <c r="W16">
        <f t="shared" si="1"/>
        <v>18.436544495770402</v>
      </c>
      <c r="X16">
        <f t="shared" si="2"/>
        <v>5.5634555042295979</v>
      </c>
      <c r="Y16">
        <f t="shared" si="3"/>
        <v>30.952037147542608</v>
      </c>
      <c r="Z16">
        <f t="shared" si="4"/>
        <v>18.622371372236803</v>
      </c>
      <c r="AA16">
        <f t="shared" si="5"/>
        <v>5.3776286277631975</v>
      </c>
      <c r="AB16">
        <f t="shared" si="6"/>
        <v>28.918889658138291</v>
      </c>
      <c r="AC16">
        <f t="shared" si="7"/>
        <v>18.516939299019199</v>
      </c>
      <c r="AD16">
        <f t="shared" si="8"/>
        <v>5.4830607009808006</v>
      </c>
      <c r="AE16">
        <f t="shared" si="9"/>
        <v>30.063954650640067</v>
      </c>
      <c r="AF16">
        <f t="shared" si="10"/>
        <v>18.3607044448256</v>
      </c>
      <c r="AG16">
        <f t="shared" si="11"/>
        <v>5.6392955551743995</v>
      </c>
      <c r="AH16">
        <f t="shared" si="12"/>
        <v>31.801654358609738</v>
      </c>
      <c r="AI16">
        <f t="shared" si="13"/>
        <v>18.0136388747264</v>
      </c>
      <c r="AJ16">
        <f t="shared" si="14"/>
        <v>5.9863611252736</v>
      </c>
      <c r="AK16">
        <f t="shared" si="15"/>
        <v>35.836519522187004</v>
      </c>
      <c r="AL16">
        <f t="shared" si="16"/>
        <v>17.807681189772801</v>
      </c>
      <c r="AM16">
        <f t="shared" si="17"/>
        <v>6.1923188102271993</v>
      </c>
      <c r="AN16">
        <f t="shared" si="18"/>
        <v>38.3448122474936</v>
      </c>
      <c r="AO16">
        <f t="shared" si="19"/>
        <v>17.568400818995201</v>
      </c>
      <c r="AP16">
        <f t="shared" si="20"/>
        <v>6.431599181004799</v>
      </c>
      <c r="AQ16">
        <f t="shared" si="21"/>
        <v>41.365468025101599</v>
      </c>
      <c r="AR16">
        <f t="shared" si="22"/>
        <v>17.295516162461603</v>
      </c>
      <c r="AS16">
        <f t="shared" si="23"/>
        <v>6.7044838375383975</v>
      </c>
      <c r="AT16">
        <f t="shared" si="24"/>
        <v>44.950103527813596</v>
      </c>
    </row>
    <row r="17" spans="1:46" ht="16" x14ac:dyDescent="0.2">
      <c r="A17" s="2">
        <v>16</v>
      </c>
      <c r="B17" s="2">
        <v>21</v>
      </c>
      <c r="C17">
        <f t="shared" si="25"/>
        <v>20.333333333333332</v>
      </c>
      <c r="D17">
        <f t="shared" si="26"/>
        <v>20.25</v>
      </c>
      <c r="E17">
        <f t="shared" si="31"/>
        <v>19.2</v>
      </c>
      <c r="F17">
        <f t="shared" si="0"/>
        <v>21.09716796875</v>
      </c>
      <c r="G17">
        <f t="shared" si="27"/>
        <v>0.66666666666666785</v>
      </c>
      <c r="H17">
        <f t="shared" si="28"/>
        <v>0.66666666666666785</v>
      </c>
      <c r="I17">
        <f t="shared" si="29"/>
        <v>0.44444444444444603</v>
      </c>
      <c r="J17">
        <f t="shared" si="30"/>
        <v>3.1746031746031802</v>
      </c>
      <c r="K17">
        <f t="shared" si="32"/>
        <v>0.75</v>
      </c>
      <c r="L17">
        <f t="shared" si="33"/>
        <v>0.75</v>
      </c>
      <c r="M17">
        <f t="shared" si="34"/>
        <v>0.5625</v>
      </c>
      <c r="N17">
        <f t="shared" si="35"/>
        <v>3.5714285714285712</v>
      </c>
      <c r="O17">
        <f t="shared" si="36"/>
        <v>1.8000000000000007</v>
      </c>
      <c r="P17">
        <f t="shared" si="37"/>
        <v>1.8000000000000007</v>
      </c>
      <c r="Q17">
        <f t="shared" si="38"/>
        <v>3.2400000000000024</v>
      </c>
      <c r="R17">
        <f t="shared" si="39"/>
        <v>8.5714285714285747</v>
      </c>
      <c r="W17">
        <f t="shared" si="1"/>
        <v>18.992890046193359</v>
      </c>
      <c r="X17">
        <f t="shared" si="2"/>
        <v>2.0071099538066406</v>
      </c>
      <c r="Y17">
        <f t="shared" si="3"/>
        <v>4.0284903666696952</v>
      </c>
      <c r="Z17">
        <f t="shared" si="4"/>
        <v>19.697897097789443</v>
      </c>
      <c r="AA17">
        <f t="shared" si="5"/>
        <v>1.3021029022105566</v>
      </c>
      <c r="AB17">
        <f t="shared" si="6"/>
        <v>1.6954719679451542</v>
      </c>
      <c r="AC17">
        <f t="shared" si="7"/>
        <v>20.161857509313439</v>
      </c>
      <c r="AD17">
        <f t="shared" si="8"/>
        <v>0.8381424906865611</v>
      </c>
      <c r="AE17">
        <f t="shared" si="9"/>
        <v>0.7024828346942722</v>
      </c>
      <c r="AF17">
        <f t="shared" si="10"/>
        <v>20.61642266689536</v>
      </c>
      <c r="AG17">
        <f t="shared" si="11"/>
        <v>0.38357733310463971</v>
      </c>
      <c r="AH17">
        <f t="shared" si="12"/>
        <v>0.14713157047166772</v>
      </c>
      <c r="AI17">
        <f t="shared" si="13"/>
        <v>21.605455549890557</v>
      </c>
      <c r="AJ17">
        <f t="shared" si="14"/>
        <v>-0.60545554989055717</v>
      </c>
      <c r="AK17">
        <f t="shared" si="15"/>
        <v>0.36657642289327697</v>
      </c>
      <c r="AL17">
        <f t="shared" si="16"/>
        <v>22.142304356931838</v>
      </c>
      <c r="AM17">
        <f t="shared" si="17"/>
        <v>-1.1423043569318381</v>
      </c>
      <c r="AN17">
        <f t="shared" si="18"/>
        <v>1.30485924386546</v>
      </c>
      <c r="AO17">
        <f t="shared" si="19"/>
        <v>22.713680163799044</v>
      </c>
      <c r="AP17">
        <f t="shared" si="20"/>
        <v>-1.7136801637990438</v>
      </c>
      <c r="AQ17">
        <f t="shared" si="21"/>
        <v>2.9366997037983174</v>
      </c>
      <c r="AR17">
        <f t="shared" si="22"/>
        <v>23.32955161624616</v>
      </c>
      <c r="AS17">
        <f t="shared" si="23"/>
        <v>-2.3295516162461603</v>
      </c>
      <c r="AT17">
        <f t="shared" si="24"/>
        <v>5.4268107327550972</v>
      </c>
    </row>
    <row r="18" spans="1:46" ht="16" x14ac:dyDescent="0.2">
      <c r="A18" s="2">
        <v>17</v>
      </c>
      <c r="B18" s="2">
        <v>22</v>
      </c>
      <c r="C18">
        <f t="shared" si="25"/>
        <v>20.666666666666668</v>
      </c>
      <c r="D18">
        <f t="shared" si="26"/>
        <v>20.5</v>
      </c>
      <c r="E18">
        <f t="shared" si="31"/>
        <v>20.399999999999999</v>
      </c>
      <c r="F18">
        <f t="shared" si="0"/>
        <v>21.048583984375</v>
      </c>
      <c r="G18">
        <f t="shared" si="27"/>
        <v>1.3333333333333321</v>
      </c>
      <c r="H18">
        <f t="shared" si="28"/>
        <v>1.3333333333333321</v>
      </c>
      <c r="I18">
        <f t="shared" si="29"/>
        <v>1.7777777777777746</v>
      </c>
      <c r="J18">
        <f t="shared" si="30"/>
        <v>6.0606060606060552</v>
      </c>
      <c r="K18">
        <f t="shared" si="32"/>
        <v>1.5</v>
      </c>
      <c r="L18">
        <f t="shared" si="33"/>
        <v>1.5</v>
      </c>
      <c r="M18">
        <f t="shared" si="34"/>
        <v>2.25</v>
      </c>
      <c r="N18">
        <f t="shared" si="35"/>
        <v>6.8181818181818175</v>
      </c>
      <c r="O18">
        <f t="shared" si="36"/>
        <v>1.6000000000000014</v>
      </c>
      <c r="P18">
        <f t="shared" si="37"/>
        <v>1.6000000000000014</v>
      </c>
      <c r="Q18">
        <f t="shared" si="38"/>
        <v>2.5600000000000045</v>
      </c>
      <c r="R18">
        <f t="shared" si="39"/>
        <v>7.2727272727272796</v>
      </c>
      <c r="W18">
        <f t="shared" si="1"/>
        <v>19.193601041574027</v>
      </c>
      <c r="X18">
        <f t="shared" si="2"/>
        <v>2.806398958425973</v>
      </c>
      <c r="Y18">
        <f t="shared" si="3"/>
        <v>7.8758751138543861</v>
      </c>
      <c r="Z18">
        <f t="shared" si="4"/>
        <v>19.958317678231555</v>
      </c>
      <c r="AA18">
        <f t="shared" si="5"/>
        <v>2.0416823217684446</v>
      </c>
      <c r="AB18">
        <f t="shared" si="6"/>
        <v>4.1684667030217861</v>
      </c>
      <c r="AC18">
        <f t="shared" si="7"/>
        <v>20.413300256519406</v>
      </c>
      <c r="AD18">
        <f t="shared" si="8"/>
        <v>1.5866997434805938</v>
      </c>
      <c r="AE18">
        <f t="shared" si="9"/>
        <v>2.5176160759613824</v>
      </c>
      <c r="AF18">
        <f t="shared" si="10"/>
        <v>20.769853600137218</v>
      </c>
      <c r="AG18">
        <f t="shared" si="11"/>
        <v>1.2301463998627824</v>
      </c>
      <c r="AH18">
        <f t="shared" si="12"/>
        <v>1.5132601650953645</v>
      </c>
      <c r="AI18">
        <f t="shared" si="13"/>
        <v>21.242182219956224</v>
      </c>
      <c r="AJ18">
        <f t="shared" si="14"/>
        <v>0.75781778004377642</v>
      </c>
      <c r="AK18">
        <f t="shared" si="15"/>
        <v>0.57428778775047751</v>
      </c>
      <c r="AL18">
        <f t="shared" si="16"/>
        <v>21.342691307079551</v>
      </c>
      <c r="AM18">
        <f t="shared" si="17"/>
        <v>0.65730869292044858</v>
      </c>
      <c r="AN18">
        <f t="shared" si="18"/>
        <v>0.43205471778878857</v>
      </c>
      <c r="AO18">
        <f t="shared" si="19"/>
        <v>21.342736032759809</v>
      </c>
      <c r="AP18">
        <f t="shared" si="20"/>
        <v>0.65726396724019054</v>
      </c>
      <c r="AQ18">
        <f t="shared" si="21"/>
        <v>0.43199592263231429</v>
      </c>
      <c r="AR18">
        <f t="shared" si="22"/>
        <v>21.232955161624616</v>
      </c>
      <c r="AS18">
        <f t="shared" si="23"/>
        <v>0.76704483837538362</v>
      </c>
      <c r="AT18">
        <f t="shared" si="24"/>
        <v>0.5883577840783184</v>
      </c>
    </row>
    <row r="19" spans="1:46" ht="16" x14ac:dyDescent="0.2">
      <c r="A19" s="2">
        <v>18</v>
      </c>
      <c r="B19" s="2">
        <v>17</v>
      </c>
      <c r="C19">
        <f t="shared" si="25"/>
        <v>22.333333333333332</v>
      </c>
      <c r="D19">
        <f t="shared" si="26"/>
        <v>21</v>
      </c>
      <c r="E19">
        <f t="shared" si="31"/>
        <v>20.8</v>
      </c>
      <c r="F19">
        <f t="shared" si="0"/>
        <v>21.5242919921875</v>
      </c>
      <c r="G19">
        <f t="shared" si="27"/>
        <v>-5.3333333333333321</v>
      </c>
      <c r="H19">
        <f t="shared" si="28"/>
        <v>5.3333333333333321</v>
      </c>
      <c r="I19">
        <f t="shared" si="29"/>
        <v>28.444444444444432</v>
      </c>
      <c r="J19">
        <f t="shared" si="30"/>
        <v>31.372549019607838</v>
      </c>
      <c r="K19">
        <f t="shared" si="32"/>
        <v>-4</v>
      </c>
      <c r="L19">
        <f t="shared" si="33"/>
        <v>4</v>
      </c>
      <c r="M19">
        <f t="shared" si="34"/>
        <v>16</v>
      </c>
      <c r="N19">
        <f t="shared" si="35"/>
        <v>23.52941176470588</v>
      </c>
      <c r="O19">
        <f t="shared" si="36"/>
        <v>-3.8000000000000007</v>
      </c>
      <c r="P19">
        <f t="shared" si="37"/>
        <v>3.8000000000000007</v>
      </c>
      <c r="Q19">
        <f t="shared" si="38"/>
        <v>14.440000000000005</v>
      </c>
      <c r="R19">
        <f t="shared" si="39"/>
        <v>22.352941176470591</v>
      </c>
      <c r="W19">
        <f t="shared" si="1"/>
        <v>19.474240937416624</v>
      </c>
      <c r="X19">
        <f t="shared" si="2"/>
        <v>-2.4742409374166243</v>
      </c>
      <c r="Y19">
        <f t="shared" si="3"/>
        <v>6.1218682163882958</v>
      </c>
      <c r="Z19">
        <f t="shared" si="4"/>
        <v>20.366654142585247</v>
      </c>
      <c r="AA19">
        <f t="shared" si="5"/>
        <v>-3.3666541425852472</v>
      </c>
      <c r="AB19">
        <f t="shared" si="6"/>
        <v>11.334360115786406</v>
      </c>
      <c r="AC19">
        <f t="shared" si="7"/>
        <v>20.889310179563584</v>
      </c>
      <c r="AD19">
        <f t="shared" si="8"/>
        <v>-3.8893101795635836</v>
      </c>
      <c r="AE19">
        <f t="shared" si="9"/>
        <v>15.126733672856915</v>
      </c>
      <c r="AF19">
        <f t="shared" si="10"/>
        <v>21.261912160082332</v>
      </c>
      <c r="AG19">
        <f t="shared" si="11"/>
        <v>-4.261912160082332</v>
      </c>
      <c r="AH19">
        <f t="shared" si="12"/>
        <v>18.16389526025765</v>
      </c>
      <c r="AI19">
        <f t="shared" si="13"/>
        <v>21.696872887982487</v>
      </c>
      <c r="AJ19">
        <f t="shared" si="14"/>
        <v>-4.6968728879824866</v>
      </c>
      <c r="AK19">
        <f t="shared" si="15"/>
        <v>22.060614925864943</v>
      </c>
      <c r="AL19">
        <f t="shared" si="16"/>
        <v>21.802807392123864</v>
      </c>
      <c r="AM19">
        <f t="shared" si="17"/>
        <v>-4.8028073921238637</v>
      </c>
      <c r="AN19">
        <f t="shared" si="18"/>
        <v>23.066958845839629</v>
      </c>
      <c r="AO19">
        <f t="shared" si="19"/>
        <v>21.868547206551963</v>
      </c>
      <c r="AP19">
        <f t="shared" si="20"/>
        <v>-4.8685472065519626</v>
      </c>
      <c r="AQ19">
        <f t="shared" si="21"/>
        <v>23.702751902424918</v>
      </c>
      <c r="AR19">
        <f t="shared" si="22"/>
        <v>21.923295516162462</v>
      </c>
      <c r="AS19">
        <f t="shared" si="23"/>
        <v>-4.9232955161624616</v>
      </c>
      <c r="AT19">
        <f t="shared" si="24"/>
        <v>24.2388387394654</v>
      </c>
    </row>
    <row r="20" spans="1:46" ht="16" x14ac:dyDescent="0.2">
      <c r="A20" s="2">
        <v>19</v>
      </c>
      <c r="B20" s="2">
        <v>24</v>
      </c>
      <c r="C20">
        <f t="shared" si="25"/>
        <v>20</v>
      </c>
      <c r="D20">
        <f t="shared" si="26"/>
        <v>21</v>
      </c>
      <c r="E20">
        <f t="shared" si="31"/>
        <v>20.2</v>
      </c>
      <c r="F20">
        <f t="shared" si="0"/>
        <v>19.26214599609375</v>
      </c>
      <c r="G20">
        <f t="shared" si="27"/>
        <v>4</v>
      </c>
      <c r="H20">
        <f t="shared" si="28"/>
        <v>4</v>
      </c>
      <c r="I20">
        <f t="shared" si="29"/>
        <v>16</v>
      </c>
      <c r="J20">
        <f t="shared" si="30"/>
        <v>16.666666666666664</v>
      </c>
      <c r="K20">
        <f t="shared" si="32"/>
        <v>3</v>
      </c>
      <c r="L20">
        <f t="shared" si="33"/>
        <v>3</v>
      </c>
      <c r="M20">
        <f t="shared" si="34"/>
        <v>9</v>
      </c>
      <c r="N20">
        <f t="shared" si="35"/>
        <v>12.5</v>
      </c>
      <c r="O20">
        <f t="shared" si="36"/>
        <v>3.8000000000000007</v>
      </c>
      <c r="P20">
        <f t="shared" si="37"/>
        <v>3.8000000000000007</v>
      </c>
      <c r="Q20">
        <f t="shared" si="38"/>
        <v>14.440000000000005</v>
      </c>
      <c r="R20">
        <f t="shared" si="39"/>
        <v>15.833333333333336</v>
      </c>
      <c r="W20">
        <f t="shared" si="1"/>
        <v>19.22681684367496</v>
      </c>
      <c r="X20">
        <f t="shared" si="2"/>
        <v>4.7731831563250395</v>
      </c>
      <c r="Y20">
        <f t="shared" si="3"/>
        <v>22.783277443825067</v>
      </c>
      <c r="Z20">
        <f t="shared" si="4"/>
        <v>19.693323314068202</v>
      </c>
      <c r="AA20">
        <f t="shared" si="5"/>
        <v>4.306676685931798</v>
      </c>
      <c r="AB20">
        <f t="shared" si="6"/>
        <v>18.547464077148494</v>
      </c>
      <c r="AC20">
        <f t="shared" si="7"/>
        <v>19.722517125694509</v>
      </c>
      <c r="AD20">
        <f t="shared" si="8"/>
        <v>4.2774828743054911</v>
      </c>
      <c r="AE20">
        <f t="shared" si="9"/>
        <v>18.296859739976767</v>
      </c>
      <c r="AF20">
        <f t="shared" si="10"/>
        <v>19.557147296049401</v>
      </c>
      <c r="AG20">
        <f t="shared" si="11"/>
        <v>4.4428527039505994</v>
      </c>
      <c r="AH20">
        <f t="shared" si="12"/>
        <v>19.738940149001152</v>
      </c>
      <c r="AI20">
        <f t="shared" si="13"/>
        <v>18.878749155192992</v>
      </c>
      <c r="AJ20">
        <f t="shared" si="14"/>
        <v>5.1212508448070082</v>
      </c>
      <c r="AK20">
        <f t="shared" si="15"/>
        <v>26.227210215436497</v>
      </c>
      <c r="AL20">
        <f t="shared" si="16"/>
        <v>18.440842217637158</v>
      </c>
      <c r="AM20">
        <f t="shared" si="17"/>
        <v>5.559157782362842</v>
      </c>
      <c r="AN20">
        <f t="shared" si="18"/>
        <v>30.90423524920535</v>
      </c>
      <c r="AO20">
        <f t="shared" si="19"/>
        <v>17.973709441310394</v>
      </c>
      <c r="AP20">
        <f t="shared" si="20"/>
        <v>6.0262905586896061</v>
      </c>
      <c r="AQ20">
        <f t="shared" si="21"/>
        <v>36.316177897751487</v>
      </c>
      <c r="AR20">
        <f t="shared" si="22"/>
        <v>17.492329551616248</v>
      </c>
      <c r="AS20">
        <f t="shared" si="23"/>
        <v>6.5076704483837524</v>
      </c>
      <c r="AT20">
        <f t="shared" si="24"/>
        <v>42.349774664767189</v>
      </c>
    </row>
    <row r="21" spans="1:46" ht="16" x14ac:dyDescent="0.2">
      <c r="A21" s="2">
        <v>20</v>
      </c>
      <c r="B21" s="2">
        <v>23</v>
      </c>
      <c r="C21">
        <f t="shared" si="25"/>
        <v>21</v>
      </c>
      <c r="D21">
        <f t="shared" si="26"/>
        <v>21</v>
      </c>
      <c r="E21">
        <f t="shared" si="31"/>
        <v>21.6</v>
      </c>
      <c r="F21">
        <f t="shared" si="0"/>
        <v>21.631072998046875</v>
      </c>
      <c r="G21">
        <f t="shared" si="27"/>
        <v>2</v>
      </c>
      <c r="H21">
        <f t="shared" si="28"/>
        <v>2</v>
      </c>
      <c r="I21">
        <f t="shared" si="29"/>
        <v>4</v>
      </c>
      <c r="J21">
        <f t="shared" si="30"/>
        <v>8.695652173913043</v>
      </c>
      <c r="K21">
        <f t="shared" si="32"/>
        <v>2</v>
      </c>
      <c r="L21">
        <f t="shared" si="33"/>
        <v>2</v>
      </c>
      <c r="M21">
        <f t="shared" si="34"/>
        <v>4</v>
      </c>
      <c r="N21">
        <f t="shared" si="35"/>
        <v>8.695652173913043</v>
      </c>
      <c r="O21">
        <f t="shared" si="36"/>
        <v>1.3999999999999986</v>
      </c>
      <c r="P21">
        <f t="shared" si="37"/>
        <v>1.3999999999999986</v>
      </c>
      <c r="Q21">
        <f t="shared" si="38"/>
        <v>1.959999999999996</v>
      </c>
      <c r="R21">
        <f t="shared" si="39"/>
        <v>6.0869565217391246</v>
      </c>
      <c r="W21">
        <f t="shared" si="1"/>
        <v>19.704135159307462</v>
      </c>
      <c r="X21">
        <f t="shared" si="2"/>
        <v>3.2958648406925377</v>
      </c>
      <c r="Y21">
        <f t="shared" si="3"/>
        <v>10.862725048113248</v>
      </c>
      <c r="Z21">
        <f t="shared" si="4"/>
        <v>20.554658651254563</v>
      </c>
      <c r="AA21">
        <f t="shared" si="5"/>
        <v>2.445341348745437</v>
      </c>
      <c r="AB21">
        <f t="shared" si="6"/>
        <v>5.9796943118841526</v>
      </c>
      <c r="AC21">
        <f t="shared" si="7"/>
        <v>21.005761987986155</v>
      </c>
      <c r="AD21">
        <f t="shared" si="8"/>
        <v>1.9942380120138452</v>
      </c>
      <c r="AE21">
        <f t="shared" si="9"/>
        <v>3.9769852485609336</v>
      </c>
      <c r="AF21">
        <f t="shared" si="10"/>
        <v>21.33428837762964</v>
      </c>
      <c r="AG21">
        <f t="shared" si="11"/>
        <v>1.6657116223703596</v>
      </c>
      <c r="AH21">
        <f t="shared" si="12"/>
        <v>2.7745952088996955</v>
      </c>
      <c r="AI21">
        <f t="shared" si="13"/>
        <v>21.951499662077197</v>
      </c>
      <c r="AJ21">
        <f t="shared" si="14"/>
        <v>1.0485003379228033</v>
      </c>
      <c r="AK21">
        <f t="shared" si="15"/>
        <v>1.0993529586242328</v>
      </c>
      <c r="AL21">
        <f t="shared" si="16"/>
        <v>22.332252665291144</v>
      </c>
      <c r="AM21">
        <f t="shared" si="17"/>
        <v>0.6677473347088565</v>
      </c>
      <c r="AN21">
        <f t="shared" si="18"/>
        <v>0.44588650301078164</v>
      </c>
      <c r="AO21">
        <f t="shared" si="19"/>
        <v>22.794741888262081</v>
      </c>
      <c r="AP21">
        <f t="shared" si="20"/>
        <v>0.20525811173791908</v>
      </c>
      <c r="AQ21">
        <f t="shared" si="21"/>
        <v>4.2130892434216076E-2</v>
      </c>
      <c r="AR21">
        <f t="shared" si="22"/>
        <v>23.349232955161625</v>
      </c>
      <c r="AS21">
        <f t="shared" si="23"/>
        <v>-0.34923295516162511</v>
      </c>
      <c r="AT21">
        <f t="shared" si="24"/>
        <v>0.12196365697092165</v>
      </c>
    </row>
    <row r="22" spans="1:46" ht="16" x14ac:dyDescent="0.2">
      <c r="A22" s="2">
        <v>21</v>
      </c>
      <c r="B22" s="2">
        <v>26</v>
      </c>
      <c r="C22">
        <f t="shared" si="25"/>
        <v>21.333333333333332</v>
      </c>
      <c r="D22">
        <f t="shared" si="26"/>
        <v>21.5</v>
      </c>
      <c r="E22">
        <f t="shared" si="31"/>
        <v>21.4</v>
      </c>
      <c r="F22">
        <f t="shared" si="0"/>
        <v>22.315536499023438</v>
      </c>
      <c r="G22">
        <f t="shared" si="27"/>
        <v>4.6666666666666679</v>
      </c>
      <c r="H22">
        <f t="shared" si="28"/>
        <v>4.6666666666666679</v>
      </c>
      <c r="I22">
        <f t="shared" si="29"/>
        <v>21.777777777777789</v>
      </c>
      <c r="J22">
        <f t="shared" si="30"/>
        <v>17.948717948717956</v>
      </c>
      <c r="K22">
        <f t="shared" si="32"/>
        <v>4.5</v>
      </c>
      <c r="L22">
        <f t="shared" si="33"/>
        <v>4.5</v>
      </c>
      <c r="M22">
        <f t="shared" si="34"/>
        <v>20.25</v>
      </c>
      <c r="N22">
        <f t="shared" si="35"/>
        <v>17.307692307692307</v>
      </c>
      <c r="O22">
        <f t="shared" si="36"/>
        <v>4.6000000000000014</v>
      </c>
      <c r="P22">
        <f t="shared" si="37"/>
        <v>4.6000000000000014</v>
      </c>
      <c r="Q22">
        <f t="shared" si="38"/>
        <v>21.160000000000014</v>
      </c>
      <c r="R22">
        <f t="shared" si="39"/>
        <v>17.692307692307701</v>
      </c>
      <c r="W22">
        <f t="shared" si="1"/>
        <v>20.033721643376719</v>
      </c>
      <c r="X22">
        <f t="shared" si="2"/>
        <v>5.9662783566232811</v>
      </c>
      <c r="Y22">
        <f t="shared" si="3"/>
        <v>35.596477428711403</v>
      </c>
      <c r="Z22">
        <f t="shared" si="4"/>
        <v>21.043726921003653</v>
      </c>
      <c r="AA22">
        <f t="shared" si="5"/>
        <v>4.9562730789963467</v>
      </c>
      <c r="AB22">
        <f t="shared" si="6"/>
        <v>24.564642833583928</v>
      </c>
      <c r="AC22">
        <f t="shared" si="7"/>
        <v>21.604033391590306</v>
      </c>
      <c r="AD22">
        <f t="shared" si="8"/>
        <v>4.3959666084096938</v>
      </c>
      <c r="AE22">
        <f t="shared" si="9"/>
        <v>19.324522422253025</v>
      </c>
      <c r="AF22">
        <f t="shared" si="10"/>
        <v>22.000573026577783</v>
      </c>
      <c r="AG22">
        <f t="shared" si="11"/>
        <v>3.9994269734222172</v>
      </c>
      <c r="AH22">
        <f t="shared" si="12"/>
        <v>15.995416115737196</v>
      </c>
      <c r="AI22">
        <f t="shared" si="13"/>
        <v>22.58059986483088</v>
      </c>
      <c r="AJ22">
        <f t="shared" si="14"/>
        <v>3.4194001351691199</v>
      </c>
      <c r="AK22">
        <f t="shared" si="15"/>
        <v>11.692297284394595</v>
      </c>
      <c r="AL22">
        <f t="shared" si="16"/>
        <v>22.799675799587341</v>
      </c>
      <c r="AM22">
        <f t="shared" si="17"/>
        <v>3.2003242004126591</v>
      </c>
      <c r="AN22">
        <f t="shared" si="18"/>
        <v>10.242074987746925</v>
      </c>
      <c r="AO22">
        <f t="shared" si="19"/>
        <v>22.958948377652419</v>
      </c>
      <c r="AP22">
        <f t="shared" si="20"/>
        <v>3.041051622347581</v>
      </c>
      <c r="AQ22">
        <f t="shared" si="21"/>
        <v>9.2479949697828534</v>
      </c>
      <c r="AR22">
        <f t="shared" si="22"/>
        <v>23.034923295516162</v>
      </c>
      <c r="AS22">
        <f t="shared" si="23"/>
        <v>2.9650767044838382</v>
      </c>
      <c r="AT22">
        <f t="shared" si="24"/>
        <v>8.7916798634727389</v>
      </c>
    </row>
    <row r="23" spans="1:46" ht="16" x14ac:dyDescent="0.2">
      <c r="A23" s="2">
        <v>22</v>
      </c>
      <c r="B23" s="2">
        <v>23</v>
      </c>
      <c r="C23">
        <f t="shared" si="25"/>
        <v>24.333333333333332</v>
      </c>
      <c r="D23">
        <f t="shared" si="26"/>
        <v>22.5</v>
      </c>
      <c r="E23">
        <f t="shared" si="31"/>
        <v>22.4</v>
      </c>
      <c r="F23">
        <f t="shared" si="0"/>
        <v>24.157768249511719</v>
      </c>
      <c r="G23">
        <f t="shared" si="27"/>
        <v>-1.3333333333333321</v>
      </c>
      <c r="H23">
        <f t="shared" si="28"/>
        <v>1.3333333333333321</v>
      </c>
      <c r="I23">
        <f t="shared" si="29"/>
        <v>1.7777777777777746</v>
      </c>
      <c r="J23">
        <f t="shared" si="30"/>
        <v>5.797101449275357</v>
      </c>
      <c r="K23">
        <f t="shared" si="32"/>
        <v>0.5</v>
      </c>
      <c r="L23">
        <f t="shared" si="33"/>
        <v>0.5</v>
      </c>
      <c r="M23">
        <f t="shared" si="34"/>
        <v>0.25</v>
      </c>
      <c r="N23">
        <f t="shared" si="35"/>
        <v>2.1739130434782608</v>
      </c>
      <c r="O23">
        <f t="shared" si="36"/>
        <v>0.60000000000000142</v>
      </c>
      <c r="P23">
        <f t="shared" si="37"/>
        <v>0.60000000000000142</v>
      </c>
      <c r="Q23">
        <f t="shared" si="38"/>
        <v>0.36000000000000171</v>
      </c>
      <c r="R23">
        <f t="shared" si="39"/>
        <v>2.6086956521739193</v>
      </c>
      <c r="W23">
        <f t="shared" si="1"/>
        <v>20.630349479039047</v>
      </c>
      <c r="X23">
        <f t="shared" si="2"/>
        <v>2.3696505209609526</v>
      </c>
      <c r="Y23">
        <f t="shared" si="3"/>
        <v>5.6152435914905139</v>
      </c>
      <c r="Z23">
        <f t="shared" si="4"/>
        <v>22.034981536802924</v>
      </c>
      <c r="AA23">
        <f t="shared" si="5"/>
        <v>0.96501846319707596</v>
      </c>
      <c r="AB23">
        <f t="shared" si="6"/>
        <v>0.93126063431124628</v>
      </c>
      <c r="AC23">
        <f t="shared" si="7"/>
        <v>22.922823374113214</v>
      </c>
      <c r="AD23">
        <f t="shared" si="8"/>
        <v>7.7176625886785644E-2</v>
      </c>
      <c r="AE23">
        <f t="shared" si="9"/>
        <v>5.9562315832688718E-3</v>
      </c>
      <c r="AF23">
        <f t="shared" si="10"/>
        <v>23.600343815946669</v>
      </c>
      <c r="AG23">
        <f t="shared" si="11"/>
        <v>-0.60034381594666897</v>
      </c>
      <c r="AH23">
        <f t="shared" si="12"/>
        <v>0.36041269734540793</v>
      </c>
      <c r="AI23">
        <f t="shared" si="13"/>
        <v>24.632239945932351</v>
      </c>
      <c r="AJ23">
        <f t="shared" si="14"/>
        <v>-1.6322399459323513</v>
      </c>
      <c r="AK23">
        <f t="shared" si="15"/>
        <v>2.664207241097245</v>
      </c>
      <c r="AL23">
        <f t="shared" si="16"/>
        <v>25.039902739876201</v>
      </c>
      <c r="AM23">
        <f t="shared" si="17"/>
        <v>-2.0399027398762009</v>
      </c>
      <c r="AN23">
        <f t="shared" si="18"/>
        <v>4.1612031881544311</v>
      </c>
      <c r="AO23">
        <f t="shared" si="19"/>
        <v>25.391789675530486</v>
      </c>
      <c r="AP23">
        <f t="shared" si="20"/>
        <v>-2.3917896755304859</v>
      </c>
      <c r="AQ23">
        <f t="shared" si="21"/>
        <v>5.7206578519742273</v>
      </c>
      <c r="AR23">
        <f t="shared" si="22"/>
        <v>25.703492329551619</v>
      </c>
      <c r="AS23">
        <f t="shared" si="23"/>
        <v>-2.7034923295516187</v>
      </c>
      <c r="AT23">
        <f t="shared" si="24"/>
        <v>7.3088707759444382</v>
      </c>
    </row>
    <row r="24" spans="1:46" ht="16" x14ac:dyDescent="0.2">
      <c r="A24" s="2">
        <v>23</v>
      </c>
      <c r="B24" s="2">
        <v>23</v>
      </c>
      <c r="C24">
        <f t="shared" si="25"/>
        <v>24</v>
      </c>
      <c r="D24">
        <f t="shared" si="26"/>
        <v>24</v>
      </c>
      <c r="E24">
        <f t="shared" si="31"/>
        <v>22.6</v>
      </c>
      <c r="F24">
        <f t="shared" si="0"/>
        <v>23.578884124755859</v>
      </c>
      <c r="G24">
        <f t="shared" si="27"/>
        <v>-1</v>
      </c>
      <c r="H24">
        <f t="shared" si="28"/>
        <v>1</v>
      </c>
      <c r="I24">
        <f t="shared" si="29"/>
        <v>1</v>
      </c>
      <c r="J24">
        <f t="shared" si="30"/>
        <v>4.3478260869565215</v>
      </c>
      <c r="K24">
        <f t="shared" si="32"/>
        <v>-1</v>
      </c>
      <c r="L24">
        <f t="shared" si="33"/>
        <v>1</v>
      </c>
      <c r="M24">
        <f t="shared" si="34"/>
        <v>1</v>
      </c>
      <c r="N24">
        <f t="shared" si="35"/>
        <v>4.3478260869565215</v>
      </c>
      <c r="O24">
        <f t="shared" si="36"/>
        <v>0.39999999999999858</v>
      </c>
      <c r="P24">
        <f t="shared" si="37"/>
        <v>0.39999999999999858</v>
      </c>
      <c r="Q24">
        <f t="shared" si="38"/>
        <v>0.15999999999999887</v>
      </c>
      <c r="R24">
        <f t="shared" si="39"/>
        <v>1.7391304347826024</v>
      </c>
      <c r="W24">
        <f t="shared" si="1"/>
        <v>20.867314531135143</v>
      </c>
      <c r="X24">
        <f t="shared" si="2"/>
        <v>2.1326854688648567</v>
      </c>
      <c r="Y24">
        <f t="shared" si="3"/>
        <v>4.5483473091073137</v>
      </c>
      <c r="Z24">
        <f t="shared" si="4"/>
        <v>22.227985229442343</v>
      </c>
      <c r="AA24">
        <f t="shared" si="5"/>
        <v>0.77201477055765722</v>
      </c>
      <c r="AB24">
        <f t="shared" si="6"/>
        <v>0.59600680595919209</v>
      </c>
      <c r="AC24">
        <f t="shared" si="7"/>
        <v>22.945976361879246</v>
      </c>
      <c r="AD24">
        <f t="shared" si="8"/>
        <v>5.4023638120753503E-2</v>
      </c>
      <c r="AE24">
        <f t="shared" si="9"/>
        <v>2.9185534758021311E-3</v>
      </c>
      <c r="AF24">
        <f t="shared" si="10"/>
        <v>23.360206289568001</v>
      </c>
      <c r="AG24">
        <f t="shared" si="11"/>
        <v>-0.36020628956800138</v>
      </c>
      <c r="AH24">
        <f t="shared" si="12"/>
        <v>0.12974857104434687</v>
      </c>
      <c r="AI24">
        <f t="shared" si="13"/>
        <v>23.652895978372939</v>
      </c>
      <c r="AJ24">
        <f t="shared" si="14"/>
        <v>-0.65289597837293911</v>
      </c>
      <c r="AK24">
        <f t="shared" si="15"/>
        <v>0.42627315857555736</v>
      </c>
      <c r="AL24">
        <f t="shared" si="16"/>
        <v>23.611970821962856</v>
      </c>
      <c r="AM24">
        <f t="shared" si="17"/>
        <v>-0.61197082196285635</v>
      </c>
      <c r="AN24">
        <f t="shared" si="18"/>
        <v>0.37450828693389404</v>
      </c>
      <c r="AO24">
        <f t="shared" si="19"/>
        <v>23.4783579351061</v>
      </c>
      <c r="AP24">
        <f t="shared" si="20"/>
        <v>-0.47835793510610003</v>
      </c>
      <c r="AQ24">
        <f t="shared" si="21"/>
        <v>0.2288263140789718</v>
      </c>
      <c r="AR24">
        <f t="shared" si="22"/>
        <v>23.270349232955162</v>
      </c>
      <c r="AS24">
        <f t="shared" si="23"/>
        <v>-0.27034923295516222</v>
      </c>
      <c r="AT24">
        <f t="shared" si="24"/>
        <v>7.3088707759444566E-2</v>
      </c>
    </row>
    <row r="25" spans="1:46" ht="16" x14ac:dyDescent="0.2">
      <c r="A25" s="2">
        <v>24</v>
      </c>
      <c r="B25" s="2">
        <v>24</v>
      </c>
      <c r="C25">
        <f t="shared" si="25"/>
        <v>24</v>
      </c>
      <c r="D25">
        <f t="shared" si="26"/>
        <v>23.75</v>
      </c>
      <c r="E25">
        <f t="shared" si="31"/>
        <v>23.8</v>
      </c>
      <c r="F25">
        <f t="shared" si="0"/>
        <v>23.28944206237793</v>
      </c>
      <c r="G25">
        <f t="shared" si="27"/>
        <v>0</v>
      </c>
      <c r="H25">
        <f t="shared" si="28"/>
        <v>0</v>
      </c>
      <c r="I25">
        <f t="shared" si="29"/>
        <v>0</v>
      </c>
      <c r="J25">
        <f t="shared" si="30"/>
        <v>0</v>
      </c>
      <c r="K25">
        <f t="shared" si="32"/>
        <v>0.25</v>
      </c>
      <c r="L25">
        <f t="shared" si="33"/>
        <v>0.25</v>
      </c>
      <c r="M25">
        <f t="shared" si="34"/>
        <v>6.25E-2</v>
      </c>
      <c r="N25">
        <f t="shared" si="35"/>
        <v>1.0416666666666665</v>
      </c>
      <c r="O25">
        <f t="shared" si="36"/>
        <v>0.19999999999999929</v>
      </c>
      <c r="P25">
        <f t="shared" si="37"/>
        <v>0.19999999999999929</v>
      </c>
      <c r="Q25">
        <f t="shared" si="38"/>
        <v>3.9999999999999716E-2</v>
      </c>
      <c r="R25">
        <f t="shared" si="39"/>
        <v>0.83333333333333037</v>
      </c>
      <c r="W25">
        <f t="shared" si="1"/>
        <v>21.080583078021629</v>
      </c>
      <c r="X25">
        <f t="shared" si="2"/>
        <v>2.919416921978371</v>
      </c>
      <c r="Y25">
        <f t="shared" si="3"/>
        <v>8.5229951643336666</v>
      </c>
      <c r="Z25">
        <f t="shared" si="4"/>
        <v>22.382388183553875</v>
      </c>
      <c r="AA25">
        <f t="shared" si="5"/>
        <v>1.6176118164461251</v>
      </c>
      <c r="AB25">
        <f t="shared" si="6"/>
        <v>2.6166679887061322</v>
      </c>
      <c r="AC25">
        <f t="shared" si="7"/>
        <v>22.962183453315472</v>
      </c>
      <c r="AD25">
        <f t="shared" si="8"/>
        <v>1.0378165466845282</v>
      </c>
      <c r="AE25">
        <f t="shared" si="9"/>
        <v>1.0770631845721994</v>
      </c>
      <c r="AF25">
        <f t="shared" si="10"/>
        <v>23.216123773740801</v>
      </c>
      <c r="AG25">
        <f t="shared" si="11"/>
        <v>0.78387622625919917</v>
      </c>
      <c r="AH25">
        <f t="shared" si="12"/>
        <v>0.61446193809436322</v>
      </c>
      <c r="AI25">
        <f t="shared" si="13"/>
        <v>23.261158391349177</v>
      </c>
      <c r="AJ25">
        <f t="shared" si="14"/>
        <v>0.73884160865082293</v>
      </c>
      <c r="AK25">
        <f t="shared" si="15"/>
        <v>0.54588692267373584</v>
      </c>
      <c r="AL25">
        <f t="shared" si="16"/>
        <v>23.183591246588854</v>
      </c>
      <c r="AM25">
        <f t="shared" si="17"/>
        <v>0.81640875341114594</v>
      </c>
      <c r="AN25">
        <f t="shared" si="18"/>
        <v>0.66652325264634127</v>
      </c>
      <c r="AO25">
        <f t="shared" si="19"/>
        <v>23.095671587021222</v>
      </c>
      <c r="AP25">
        <f t="shared" si="20"/>
        <v>0.90432841297877786</v>
      </c>
      <c r="AQ25">
        <f t="shared" si="21"/>
        <v>0.81780987852071496</v>
      </c>
      <c r="AR25">
        <f t="shared" si="22"/>
        <v>23.027034923295517</v>
      </c>
      <c r="AS25">
        <f t="shared" si="23"/>
        <v>0.97296507670448307</v>
      </c>
      <c r="AT25">
        <f t="shared" si="24"/>
        <v>0.94666104048656063</v>
      </c>
    </row>
    <row r="26" spans="1:46" ht="16" x14ac:dyDescent="0.2">
      <c r="A26" s="2">
        <v>25</v>
      </c>
      <c r="B26" s="2">
        <v>20</v>
      </c>
      <c r="C26">
        <f t="shared" si="25"/>
        <v>23.333333333333332</v>
      </c>
      <c r="D26">
        <f t="shared" si="26"/>
        <v>24</v>
      </c>
      <c r="E26">
        <f t="shared" si="31"/>
        <v>23.8</v>
      </c>
      <c r="F26">
        <f t="shared" si="0"/>
        <v>23.644721031188965</v>
      </c>
      <c r="G26">
        <f t="shared" si="27"/>
        <v>-3.3333333333333321</v>
      </c>
      <c r="H26">
        <f t="shared" si="28"/>
        <v>3.3333333333333321</v>
      </c>
      <c r="I26">
        <f t="shared" si="29"/>
        <v>11.111111111111104</v>
      </c>
      <c r="J26">
        <f t="shared" si="30"/>
        <v>16.666666666666661</v>
      </c>
      <c r="K26">
        <f t="shared" si="32"/>
        <v>-4</v>
      </c>
      <c r="L26">
        <f t="shared" si="33"/>
        <v>4</v>
      </c>
      <c r="M26">
        <f t="shared" si="34"/>
        <v>16</v>
      </c>
      <c r="N26">
        <f t="shared" si="35"/>
        <v>20</v>
      </c>
      <c r="O26">
        <f t="shared" si="36"/>
        <v>-3.8000000000000007</v>
      </c>
      <c r="P26">
        <f t="shared" si="37"/>
        <v>3.8000000000000007</v>
      </c>
      <c r="Q26">
        <f t="shared" si="38"/>
        <v>14.440000000000005</v>
      </c>
      <c r="R26">
        <f t="shared" si="39"/>
        <v>19.000000000000004</v>
      </c>
      <c r="W26">
        <f t="shared" si="1"/>
        <v>21.372524770219464</v>
      </c>
      <c r="X26">
        <f t="shared" si="2"/>
        <v>-1.3725247702194636</v>
      </c>
      <c r="Y26">
        <f t="shared" si="3"/>
        <v>1.8838242448659914</v>
      </c>
      <c r="Z26">
        <f t="shared" si="4"/>
        <v>22.7059105468431</v>
      </c>
      <c r="AA26">
        <f t="shared" si="5"/>
        <v>-2.7059105468431</v>
      </c>
      <c r="AB26">
        <f t="shared" si="6"/>
        <v>7.3219518875167244</v>
      </c>
      <c r="AC26">
        <f t="shared" si="7"/>
        <v>23.273528417320829</v>
      </c>
      <c r="AD26">
        <f t="shared" si="8"/>
        <v>-3.2735284173208292</v>
      </c>
      <c r="AE26">
        <f t="shared" si="9"/>
        <v>10.715988299007012</v>
      </c>
      <c r="AF26">
        <f t="shared" si="10"/>
        <v>23.529674264244484</v>
      </c>
      <c r="AG26">
        <f t="shared" si="11"/>
        <v>-3.529674264244484</v>
      </c>
      <c r="AH26">
        <f t="shared" si="12"/>
        <v>12.45860041166984</v>
      </c>
      <c r="AI26">
        <f t="shared" si="13"/>
        <v>23.704463356539669</v>
      </c>
      <c r="AJ26">
        <f t="shared" si="14"/>
        <v>-3.7044633565396694</v>
      </c>
      <c r="AK26">
        <f t="shared" si="15"/>
        <v>13.723048759945154</v>
      </c>
      <c r="AL26">
        <f t="shared" si="16"/>
        <v>23.755077373976654</v>
      </c>
      <c r="AM26">
        <f t="shared" si="17"/>
        <v>-3.7550773739766541</v>
      </c>
      <c r="AN26">
        <f t="shared" si="18"/>
        <v>14.100606084551405</v>
      </c>
      <c r="AO26">
        <f t="shared" si="19"/>
        <v>23.819134317404249</v>
      </c>
      <c r="AP26">
        <f t="shared" si="20"/>
        <v>-3.8191343174042487</v>
      </c>
      <c r="AQ26">
        <f t="shared" si="21"/>
        <v>14.585786934374816</v>
      </c>
      <c r="AR26">
        <f t="shared" si="22"/>
        <v>23.902703492329554</v>
      </c>
      <c r="AS26">
        <f t="shared" si="23"/>
        <v>-3.9027034923295538</v>
      </c>
      <c r="AT26">
        <f t="shared" si="24"/>
        <v>15.231094549041297</v>
      </c>
    </row>
    <row r="27" spans="1:46" ht="16" x14ac:dyDescent="0.2">
      <c r="A27" s="2">
        <v>26</v>
      </c>
      <c r="B27" s="2">
        <v>20</v>
      </c>
      <c r="C27">
        <f t="shared" si="25"/>
        <v>22.333333333333332</v>
      </c>
      <c r="D27">
        <f t="shared" si="26"/>
        <v>22.5</v>
      </c>
      <c r="E27">
        <f t="shared" si="31"/>
        <v>23.2</v>
      </c>
      <c r="F27">
        <f t="shared" si="0"/>
        <v>21.822360515594482</v>
      </c>
      <c r="G27">
        <f t="shared" si="27"/>
        <v>-2.3333333333333321</v>
      </c>
      <c r="H27">
        <f t="shared" si="28"/>
        <v>2.3333333333333321</v>
      </c>
      <c r="I27">
        <f t="shared" si="29"/>
        <v>5.4444444444444393</v>
      </c>
      <c r="J27">
        <f t="shared" si="30"/>
        <v>11.666666666666661</v>
      </c>
      <c r="K27">
        <f t="shared" si="32"/>
        <v>-2.5</v>
      </c>
      <c r="L27">
        <f t="shared" si="33"/>
        <v>2.5</v>
      </c>
      <c r="M27">
        <f t="shared" si="34"/>
        <v>6.25</v>
      </c>
      <c r="N27">
        <f t="shared" si="35"/>
        <v>12.5</v>
      </c>
      <c r="O27">
        <f t="shared" si="36"/>
        <v>-3.1999999999999993</v>
      </c>
      <c r="P27">
        <f t="shared" si="37"/>
        <v>3.1999999999999993</v>
      </c>
      <c r="Q27">
        <f t="shared" si="38"/>
        <v>10.239999999999995</v>
      </c>
      <c r="R27">
        <f t="shared" si="39"/>
        <v>15.999999999999998</v>
      </c>
      <c r="W27">
        <f t="shared" si="1"/>
        <v>21.235272293197518</v>
      </c>
      <c r="X27">
        <f t="shared" si="2"/>
        <v>-1.235272293197518</v>
      </c>
      <c r="Y27">
        <f t="shared" si="3"/>
        <v>1.5258976383414549</v>
      </c>
      <c r="Z27">
        <f t="shared" si="4"/>
        <v>22.16472843747448</v>
      </c>
      <c r="AA27">
        <f t="shared" si="5"/>
        <v>-2.16472843747448</v>
      </c>
      <c r="AB27">
        <f t="shared" si="6"/>
        <v>4.6860492080107035</v>
      </c>
      <c r="AC27">
        <f t="shared" si="7"/>
        <v>22.291469892124578</v>
      </c>
      <c r="AD27">
        <f t="shared" si="8"/>
        <v>-2.291469892124578</v>
      </c>
      <c r="AE27">
        <f t="shared" si="9"/>
        <v>5.2508342665134249</v>
      </c>
      <c r="AF27">
        <f t="shared" si="10"/>
        <v>22.117804558546688</v>
      </c>
      <c r="AG27">
        <f t="shared" si="11"/>
        <v>-2.1178045585466876</v>
      </c>
      <c r="AH27">
        <f t="shared" si="12"/>
        <v>4.48509614820113</v>
      </c>
      <c r="AI27">
        <f t="shared" si="13"/>
        <v>21.481785342615868</v>
      </c>
      <c r="AJ27">
        <f t="shared" si="14"/>
        <v>-1.4817853426158685</v>
      </c>
      <c r="AK27">
        <f t="shared" si="15"/>
        <v>2.1956878015912267</v>
      </c>
      <c r="AL27">
        <f t="shared" si="16"/>
        <v>21.126523212192996</v>
      </c>
      <c r="AM27">
        <f t="shared" si="17"/>
        <v>-1.1265232121929962</v>
      </c>
      <c r="AN27">
        <f t="shared" si="18"/>
        <v>1.2690545476096264</v>
      </c>
      <c r="AO27">
        <f t="shared" si="19"/>
        <v>20.763826863480851</v>
      </c>
      <c r="AP27">
        <f t="shared" si="20"/>
        <v>-0.76382686348085116</v>
      </c>
      <c r="AQ27">
        <f t="shared" si="21"/>
        <v>0.58343147737499479</v>
      </c>
      <c r="AR27">
        <f t="shared" si="22"/>
        <v>20.390270349232956</v>
      </c>
      <c r="AS27">
        <f t="shared" si="23"/>
        <v>-0.39027034923295645</v>
      </c>
      <c r="AT27">
        <f t="shared" si="24"/>
        <v>0.1523109454904138</v>
      </c>
    </row>
    <row r="28" spans="1:46" ht="16" x14ac:dyDescent="0.2">
      <c r="A28" s="2">
        <v>27</v>
      </c>
      <c r="B28" s="2">
        <v>15</v>
      </c>
      <c r="C28">
        <f t="shared" si="25"/>
        <v>21.333333333333332</v>
      </c>
      <c r="D28">
        <f t="shared" si="26"/>
        <v>21.75</v>
      </c>
      <c r="E28">
        <f t="shared" si="31"/>
        <v>22</v>
      </c>
      <c r="F28">
        <f t="shared" si="0"/>
        <v>20.911180257797241</v>
      </c>
      <c r="G28">
        <f t="shared" si="27"/>
        <v>-6.3333333333333321</v>
      </c>
      <c r="H28">
        <f t="shared" si="28"/>
        <v>6.3333333333333321</v>
      </c>
      <c r="I28">
        <f t="shared" si="29"/>
        <v>40.111111111111093</v>
      </c>
      <c r="J28">
        <f t="shared" si="30"/>
        <v>42.222222222222214</v>
      </c>
      <c r="K28">
        <f t="shared" si="32"/>
        <v>-6.75</v>
      </c>
      <c r="L28">
        <f t="shared" si="33"/>
        <v>6.75</v>
      </c>
      <c r="M28">
        <f t="shared" si="34"/>
        <v>45.5625</v>
      </c>
      <c r="N28">
        <f t="shared" si="35"/>
        <v>45</v>
      </c>
      <c r="O28">
        <f t="shared" si="36"/>
        <v>-7</v>
      </c>
      <c r="P28">
        <f t="shared" si="37"/>
        <v>7</v>
      </c>
      <c r="Q28">
        <f t="shared" si="38"/>
        <v>49</v>
      </c>
      <c r="R28">
        <f t="shared" si="39"/>
        <v>46.666666666666664</v>
      </c>
      <c r="W28">
        <f t="shared" si="1"/>
        <v>21.111745063877766</v>
      </c>
      <c r="X28">
        <f t="shared" si="2"/>
        <v>-6.1117450638777662</v>
      </c>
      <c r="Y28">
        <f t="shared" si="3"/>
        <v>37.353427725834237</v>
      </c>
      <c r="Z28">
        <f t="shared" si="4"/>
        <v>21.731782749979583</v>
      </c>
      <c r="AA28">
        <f t="shared" si="5"/>
        <v>-6.7317827499795833</v>
      </c>
      <c r="AB28">
        <f t="shared" si="6"/>
        <v>45.316898992922681</v>
      </c>
      <c r="AC28">
        <f t="shared" si="7"/>
        <v>21.604028924487203</v>
      </c>
      <c r="AD28">
        <f t="shared" si="8"/>
        <v>-6.6040289244872028</v>
      </c>
      <c r="AE28">
        <f t="shared" si="9"/>
        <v>43.613198035463597</v>
      </c>
      <c r="AF28">
        <f t="shared" si="10"/>
        <v>21.270682735128013</v>
      </c>
      <c r="AG28">
        <f t="shared" si="11"/>
        <v>-6.2706827351280126</v>
      </c>
      <c r="AH28">
        <f t="shared" si="12"/>
        <v>39.321461964632533</v>
      </c>
      <c r="AI28">
        <f t="shared" si="13"/>
        <v>20.59271413704635</v>
      </c>
      <c r="AJ28">
        <f t="shared" si="14"/>
        <v>-5.5927141370463502</v>
      </c>
      <c r="AK28">
        <f t="shared" si="15"/>
        <v>31.278451418718102</v>
      </c>
      <c r="AL28">
        <f t="shared" si="16"/>
        <v>20.337956963657899</v>
      </c>
      <c r="AM28">
        <f t="shared" si="17"/>
        <v>-5.3379569636578985</v>
      </c>
      <c r="AN28">
        <f t="shared" si="18"/>
        <v>28.49378454586385</v>
      </c>
      <c r="AO28">
        <f t="shared" si="19"/>
        <v>20.15276537269617</v>
      </c>
      <c r="AP28">
        <f t="shared" si="20"/>
        <v>-5.1527653726961695</v>
      </c>
      <c r="AQ28">
        <f t="shared" si="21"/>
        <v>26.550990986056696</v>
      </c>
      <c r="AR28">
        <f t="shared" si="22"/>
        <v>20.039027034923297</v>
      </c>
      <c r="AS28">
        <f t="shared" si="23"/>
        <v>-5.0390270349232971</v>
      </c>
      <c r="AT28">
        <f t="shared" si="24"/>
        <v>25.391793458687875</v>
      </c>
    </row>
    <row r="29" spans="1:46" ht="16" x14ac:dyDescent="0.2">
      <c r="A29" s="2">
        <v>28</v>
      </c>
      <c r="B29" s="2">
        <v>20</v>
      </c>
      <c r="C29">
        <f t="shared" si="25"/>
        <v>18.333333333333332</v>
      </c>
      <c r="D29">
        <f t="shared" si="26"/>
        <v>19.75</v>
      </c>
      <c r="E29">
        <f t="shared" si="31"/>
        <v>20.399999999999999</v>
      </c>
      <c r="F29">
        <f t="shared" si="0"/>
        <v>17.955590128898621</v>
      </c>
      <c r="G29">
        <f t="shared" si="27"/>
        <v>1.6666666666666679</v>
      </c>
      <c r="H29">
        <f t="shared" si="28"/>
        <v>1.6666666666666679</v>
      </c>
      <c r="I29">
        <f t="shared" si="29"/>
        <v>2.7777777777777817</v>
      </c>
      <c r="J29">
        <f t="shared" si="30"/>
        <v>8.3333333333333393</v>
      </c>
      <c r="K29">
        <f t="shared" si="32"/>
        <v>0.25</v>
      </c>
      <c r="L29">
        <f t="shared" si="33"/>
        <v>0.25</v>
      </c>
      <c r="M29">
        <f t="shared" si="34"/>
        <v>6.25E-2</v>
      </c>
      <c r="N29">
        <f t="shared" si="35"/>
        <v>1.25</v>
      </c>
      <c r="O29">
        <f t="shared" si="36"/>
        <v>-0.39999999999999858</v>
      </c>
      <c r="P29">
        <f t="shared" si="37"/>
        <v>0.39999999999999858</v>
      </c>
      <c r="Q29">
        <f t="shared" si="38"/>
        <v>0.15999999999999887</v>
      </c>
      <c r="R29">
        <f t="shared" si="39"/>
        <v>1.9999999999999927</v>
      </c>
      <c r="W29">
        <f t="shared" si="1"/>
        <v>20.50057055748999</v>
      </c>
      <c r="X29">
        <f t="shared" si="2"/>
        <v>-0.50057055748998991</v>
      </c>
      <c r="Y29">
        <f t="shared" si="3"/>
        <v>0.2505708830258393</v>
      </c>
      <c r="Z29">
        <f t="shared" si="4"/>
        <v>20.385426199983666</v>
      </c>
      <c r="AA29">
        <f t="shared" si="5"/>
        <v>-0.3854261999836659</v>
      </c>
      <c r="AB29">
        <f t="shared" si="6"/>
        <v>0.1485533556338488</v>
      </c>
      <c r="AC29">
        <f t="shared" si="7"/>
        <v>19.622820247141043</v>
      </c>
      <c r="AD29">
        <f t="shared" si="8"/>
        <v>0.37717975285895733</v>
      </c>
      <c r="AE29">
        <f t="shared" si="9"/>
        <v>0.14226456596674414</v>
      </c>
      <c r="AF29">
        <f t="shared" si="10"/>
        <v>18.762409641076808</v>
      </c>
      <c r="AG29">
        <f t="shared" si="11"/>
        <v>1.2375903589231925</v>
      </c>
      <c r="AH29">
        <f t="shared" si="12"/>
        <v>1.5316298964996364</v>
      </c>
      <c r="AI29">
        <f t="shared" si="13"/>
        <v>17.237085654818543</v>
      </c>
      <c r="AJ29">
        <f t="shared" si="14"/>
        <v>2.7629143451814571</v>
      </c>
      <c r="AK29">
        <f t="shared" si="15"/>
        <v>7.6336956788094801</v>
      </c>
      <c r="AL29">
        <f t="shared" si="16"/>
        <v>16.601387089097368</v>
      </c>
      <c r="AM29">
        <f t="shared" si="17"/>
        <v>3.3986129109026315</v>
      </c>
      <c r="AN29">
        <f t="shared" si="18"/>
        <v>11.550569718154058</v>
      </c>
      <c r="AO29">
        <f t="shared" si="19"/>
        <v>16.030553074539235</v>
      </c>
      <c r="AP29">
        <f t="shared" si="20"/>
        <v>3.9694469254607654</v>
      </c>
      <c r="AQ29">
        <f t="shared" si="21"/>
        <v>15.756508894049922</v>
      </c>
      <c r="AR29">
        <f t="shared" si="22"/>
        <v>15.503902703492329</v>
      </c>
      <c r="AS29">
        <f t="shared" si="23"/>
        <v>4.4960972965076706</v>
      </c>
      <c r="AT29">
        <f t="shared" si="24"/>
        <v>20.214890899663583</v>
      </c>
    </row>
    <row r="30" spans="1:46" ht="16" x14ac:dyDescent="0.2">
      <c r="A30" s="2">
        <v>29</v>
      </c>
      <c r="B30" s="2">
        <v>17</v>
      </c>
      <c r="C30">
        <f t="shared" si="25"/>
        <v>18.333333333333332</v>
      </c>
      <c r="D30">
        <f t="shared" si="26"/>
        <v>18.75</v>
      </c>
      <c r="E30">
        <f t="shared" si="31"/>
        <v>19.8</v>
      </c>
      <c r="F30">
        <f t="shared" si="0"/>
        <v>18.97779506444931</v>
      </c>
      <c r="G30">
        <f t="shared" si="27"/>
        <v>-1.3333333333333321</v>
      </c>
      <c r="H30">
        <f t="shared" si="28"/>
        <v>1.3333333333333321</v>
      </c>
      <c r="I30">
        <f t="shared" si="29"/>
        <v>1.7777777777777746</v>
      </c>
      <c r="J30">
        <f t="shared" si="30"/>
        <v>7.8431372549019533</v>
      </c>
      <c r="K30">
        <f t="shared" si="32"/>
        <v>-1.75</v>
      </c>
      <c r="L30">
        <f t="shared" si="33"/>
        <v>1.75</v>
      </c>
      <c r="M30">
        <f t="shared" si="34"/>
        <v>3.0625</v>
      </c>
      <c r="N30">
        <f t="shared" si="35"/>
        <v>10.294117647058822</v>
      </c>
      <c r="O30">
        <f t="shared" si="36"/>
        <v>-2.8000000000000007</v>
      </c>
      <c r="P30">
        <f t="shared" si="37"/>
        <v>2.8000000000000007</v>
      </c>
      <c r="Q30">
        <f t="shared" si="38"/>
        <v>7.8400000000000043</v>
      </c>
      <c r="R30">
        <f t="shared" si="39"/>
        <v>16.470588235294123</v>
      </c>
      <c r="W30">
        <f t="shared" si="1"/>
        <v>20.450513501740993</v>
      </c>
      <c r="X30">
        <f t="shared" si="2"/>
        <v>-3.4505135017409927</v>
      </c>
      <c r="Y30">
        <f t="shared" si="3"/>
        <v>11.906043425696888</v>
      </c>
      <c r="Z30">
        <f t="shared" si="4"/>
        <v>20.308340959986932</v>
      </c>
      <c r="AA30">
        <f t="shared" si="5"/>
        <v>-3.308340959986932</v>
      </c>
      <c r="AB30">
        <f t="shared" si="6"/>
        <v>10.945119907527255</v>
      </c>
      <c r="AC30">
        <f t="shared" si="7"/>
        <v>19.735974172998731</v>
      </c>
      <c r="AD30">
        <f t="shared" si="8"/>
        <v>-2.7359741729987306</v>
      </c>
      <c r="AE30">
        <f t="shared" si="9"/>
        <v>7.485554675316088</v>
      </c>
      <c r="AF30">
        <f t="shared" si="10"/>
        <v>19.257445784646084</v>
      </c>
      <c r="AG30">
        <f t="shared" si="11"/>
        <v>-2.2574457846460838</v>
      </c>
      <c r="AH30">
        <f t="shared" si="12"/>
        <v>5.0960614706163732</v>
      </c>
      <c r="AI30">
        <f t="shared" si="13"/>
        <v>18.894834261927418</v>
      </c>
      <c r="AJ30">
        <f t="shared" si="14"/>
        <v>-1.8948342619274179</v>
      </c>
      <c r="AK30">
        <f t="shared" si="15"/>
        <v>3.5903968801740227</v>
      </c>
      <c r="AL30">
        <f t="shared" si="16"/>
        <v>18.98041612672921</v>
      </c>
      <c r="AM30">
        <f t="shared" si="17"/>
        <v>-1.9804161267292102</v>
      </c>
      <c r="AN30">
        <f t="shared" si="18"/>
        <v>3.9220480350091269</v>
      </c>
      <c r="AO30">
        <f t="shared" si="19"/>
        <v>19.206110614907846</v>
      </c>
      <c r="AP30">
        <f t="shared" si="20"/>
        <v>-2.2061106149078462</v>
      </c>
      <c r="AQ30">
        <f t="shared" si="21"/>
        <v>4.8669240452090756</v>
      </c>
      <c r="AR30">
        <f t="shared" si="22"/>
        <v>19.550390270349233</v>
      </c>
      <c r="AS30">
        <f t="shared" si="23"/>
        <v>-2.5503902703492329</v>
      </c>
      <c r="AT30">
        <f t="shared" si="24"/>
        <v>6.5044905310920331</v>
      </c>
    </row>
    <row r="31" spans="1:46" x14ac:dyDescent="0.2">
      <c r="C31">
        <f t="shared" si="25"/>
        <v>17.333333333333332</v>
      </c>
      <c r="D31">
        <f t="shared" si="26"/>
        <v>18</v>
      </c>
      <c r="E31">
        <f t="shared" si="31"/>
        <v>18.399999999999999</v>
      </c>
    </row>
    <row r="32" spans="1:46" x14ac:dyDescent="0.2">
      <c r="H32" s="5" t="s">
        <v>10</v>
      </c>
      <c r="I32" s="5" t="s">
        <v>9</v>
      </c>
      <c r="J32" s="5" t="s">
        <v>11</v>
      </c>
      <c r="K32" s="5"/>
      <c r="L32" s="5" t="s">
        <v>18</v>
      </c>
      <c r="M32" s="5" t="s">
        <v>17</v>
      </c>
      <c r="N32" s="5" t="s">
        <v>19</v>
      </c>
      <c r="O32" s="5"/>
      <c r="P32" s="5" t="s">
        <v>15</v>
      </c>
      <c r="Q32" s="5" t="s">
        <v>13</v>
      </c>
      <c r="R32" s="5" t="s">
        <v>16</v>
      </c>
      <c r="W32" s="3" t="s">
        <v>6</v>
      </c>
      <c r="Z32" s="3" t="s">
        <v>6</v>
      </c>
      <c r="AC32" s="3" t="s">
        <v>6</v>
      </c>
      <c r="AF32" s="3" t="s">
        <v>6</v>
      </c>
      <c r="AI32" s="3" t="s">
        <v>6</v>
      </c>
      <c r="AL32" s="3" t="s">
        <v>6</v>
      </c>
      <c r="AO32" s="3" t="s">
        <v>6</v>
      </c>
      <c r="AR32" s="3" t="s">
        <v>6</v>
      </c>
    </row>
    <row r="33" spans="8:44" x14ac:dyDescent="0.2">
      <c r="H33">
        <f>AVERAGE(H5:H30)</f>
        <v>2.5128205128205119</v>
      </c>
      <c r="I33">
        <f>AVERAGE(I5:I30)</f>
        <v>9.6153846153846132</v>
      </c>
      <c r="J33">
        <f>AVERAGE(J5:J30)</f>
        <v>13.014564429821167</v>
      </c>
      <c r="L33">
        <f>AVERAGE(L6:L30)</f>
        <v>2.44</v>
      </c>
      <c r="M33">
        <f>AVERAGE(M6:M30)</f>
        <v>9.2850000000000001</v>
      </c>
      <c r="N33">
        <f>AVERAGE(N6:N30)</f>
        <v>12.818288591913911</v>
      </c>
      <c r="P33">
        <f>AVERAGE(P7:P30)</f>
        <v>2.4666666666666668</v>
      </c>
      <c r="Q33">
        <f>AVERAGE(Q7:Q30)</f>
        <v>9.25</v>
      </c>
      <c r="R33">
        <f>AVERAGE(R7:R30)</f>
        <v>12.932588316060185</v>
      </c>
      <c r="W33">
        <f>AVERAGE(Y3:Y30)</f>
        <v>10.2019952749793</v>
      </c>
      <c r="Z33">
        <f>AVERAGE(AB3:AB30)</f>
        <v>9.3603494563131981</v>
      </c>
      <c r="AC33">
        <f>AVERAGE(AE3:AE30)</f>
        <v>9.1598156569199087</v>
      </c>
      <c r="AF33">
        <f>AVERAGE(AH3:AH30)</f>
        <v>9.2198944218102969</v>
      </c>
      <c r="AI33">
        <f>AVERAGE(AK3:AK30)</f>
        <v>9.9681734149097441</v>
      </c>
      <c r="AL33">
        <f>AVERAGE(AN3:AN30)</f>
        <v>10.628515433680054</v>
      </c>
      <c r="AO33">
        <f>AVERAGE(AQ3:AQ30)</f>
        <v>11.492703443547773</v>
      </c>
      <c r="AR33">
        <f>AVERAGE(AT3:AT30)</f>
        <v>12.596932175618107</v>
      </c>
    </row>
    <row r="34" spans="8:44" x14ac:dyDescent="0.2">
      <c r="AC34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</dc:creator>
  <cp:lastModifiedBy>Chrissa Muller</cp:lastModifiedBy>
  <dcterms:created xsi:type="dcterms:W3CDTF">2021-04-19T03:52:47Z</dcterms:created>
  <dcterms:modified xsi:type="dcterms:W3CDTF">2026-02-23T01:22:52Z</dcterms:modified>
</cp:coreProperties>
</file>