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chrissamuller/Downloads/"/>
    </mc:Choice>
  </mc:AlternateContent>
  <xr:revisionPtr revIDLastSave="0" documentId="13_ncr:1_{C48F711C-9D3A-5647-870A-B4F427ABF067}" xr6:coauthVersionLast="47" xr6:coauthVersionMax="47" xr10:uidLastSave="{00000000-0000-0000-0000-000000000000}"/>
  <bookViews>
    <workbookView xWindow="0" yWindow="720" windowWidth="17680" windowHeight="18400" activeTab="2" xr2:uid="{00000000-000D-0000-FFFF-FFFF00000000}"/>
  </bookViews>
  <sheets>
    <sheet name="Sheet 1" sheetId="5" r:id="rId1"/>
    <sheet name="Data" sheetId="1" r:id="rId2"/>
    <sheet name="Sheet 2" sheetId="10" r:id="rId3"/>
  </sheets>
  <definedNames>
    <definedName name="_xlchart.v1.0" hidden="1">Data!$A$2:$A$37</definedName>
    <definedName name="_xlchart.v1.1" hidden="1">Data!$B$2:$B$37</definedName>
    <definedName name="_xlchart.v1.10" hidden="1">Data!$B$2:$B$37</definedName>
    <definedName name="_xlchart.v1.11" hidden="1">Data!$C$1</definedName>
    <definedName name="_xlchart.v1.12" hidden="1">Data!$A$2:$A$37</definedName>
    <definedName name="_xlchart.v1.13" hidden="1">Data!$B$2:$B$37</definedName>
    <definedName name="_xlchart.v1.14" hidden="1">Data!$C$1</definedName>
    <definedName name="_xlchart.v1.15" hidden="1">Data!$A$2:$A$37</definedName>
    <definedName name="_xlchart.v1.16" hidden="1">Data!$B$2:$B$37</definedName>
    <definedName name="_xlchart.v1.17" hidden="1">Data!$C$1</definedName>
    <definedName name="_xlchart.v1.2" hidden="1">Data!$C$1</definedName>
    <definedName name="_xlchart.v1.3" hidden="1">Data!$A$2:$A$37</definedName>
    <definedName name="_xlchart.v1.4" hidden="1">Data!$B$2:$B$37</definedName>
    <definedName name="_xlchart.v1.5" hidden="1">Data!$C$1</definedName>
    <definedName name="_xlchart.v1.6" hidden="1">Data!$A$2:$A$37</definedName>
    <definedName name="_xlchart.v1.7" hidden="1">Data!$B$2:$B$37</definedName>
    <definedName name="_xlchart.v1.8" hidden="1">Data!$C$1</definedName>
    <definedName name="_xlchart.v1.9" hidden="1">Data!$A$2:$A$37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5" l="1"/>
  <c r="L36" i="5"/>
  <c r="K36" i="5"/>
  <c r="J36" i="5"/>
  <c r="I36" i="5"/>
  <c r="H36" i="5"/>
  <c r="G36" i="5"/>
  <c r="F36" i="5"/>
  <c r="E36" i="5"/>
  <c r="D36" i="5"/>
  <c r="C36" i="5"/>
  <c r="B36" i="5"/>
  <c r="A36" i="5"/>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2" i="1"/>
</calcChain>
</file>

<file path=xl/sharedStrings.xml><?xml version="1.0" encoding="utf-8"?>
<sst xmlns="http://schemas.openxmlformats.org/spreadsheetml/2006/main" count="106" uniqueCount="42">
  <si>
    <t>Month</t>
  </si>
  <si>
    <t>Sales</t>
  </si>
  <si>
    <t>Time Series Plot</t>
  </si>
  <si>
    <t>Jan</t>
  </si>
  <si>
    <t>Feb</t>
  </si>
  <si>
    <t>Mar</t>
  </si>
  <si>
    <t>Apr</t>
  </si>
  <si>
    <t>May</t>
  </si>
  <si>
    <t>Jun</t>
  </si>
  <si>
    <t>Jul</t>
  </si>
  <si>
    <t>Aug</t>
  </si>
  <si>
    <t>Sep</t>
  </si>
  <si>
    <t>Oct</t>
  </si>
  <si>
    <t>Month(1-12)</t>
  </si>
  <si>
    <t>Nov</t>
  </si>
  <si>
    <t>Dec</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</si>
  <si>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</si>
  <si>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</si>
  <si>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</si>
  <si>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</si>
  <si>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</si>
  <si>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</si>
  <si>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</si>
  <si>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</si>
  <si>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</si>
  <si>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</si>
  <si>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</si>
  <si>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</si>
  <si>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</si>
  <si>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</si>
  <si>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</si>
  <si>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</si>
  <si>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</si>
  <si>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</si>
  <si>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</si>
  <si>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</si>
  <si>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</si>
  <si>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</si>
  <si>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</si>
  <si>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</si>
  <si>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 </t>
  </si>
  <si>
    <t>Forecast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</si>
</sst>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name val="Times New Roman"/>
    </font>
    <font>
      <b/>
      <sz val="12"/>
      <name val="Times New Roman"/>
      <family val="1"/>
    </font>
    <font>
      <sz val="8"/>
      <name val="Times New Roman"/>
      <family val="1"/>
    </font>
    <font>
      <sz val="12"/>
      <name val="Times New Roman"/>
      <family val="1"/>
    </font>
    <font>
      <i/>
      <sz val="12"/>
      <name val="Times New Roman"/>
      <family val="1"/>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3" fillId="0" borderId="0" xfId="0" applyFont="1"/>
    <xf numFmtId="0" fontId="1" fillId="0" borderId="0" xfId="0" applyFont="1"/>
    <xf numFmtId="0" fontId="0" fillId="0" borderId="0" xfId="0" applyFill="1" applyBorder="1" applyAlignment="1"/>
    <xf numFmtId="0" fontId="0" fillId="0" borderId="1" xfId="0" applyFill="1" applyBorder="1" applyAlignment="1"/>
    <xf numFmtId="0" fontId="4" fillId="0" borderId="2" xfId="0" applyFont="1" applyFill="1" applyBorder="1" applyAlignment="1">
      <alignment horizontal="center"/>
    </xf>
    <xf numFmtId="0" fontId="4" fillId="0" borderId="2" xfId="0" applyFont="1" applyFill="1" applyBorder="1" applyAlignment="1">
      <alignment horizontal="centerContinuous"/>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Data!$C$1</c:f>
              <c:strCache>
                <c:ptCount val="1"/>
                <c:pt idx="0">
                  <c:v>Month(1-12)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Data!$A$2:$A$37</c:f>
              <c:numCache>
                <c:formatCode>General</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Data!$B$2:$B$37</c:f>
              <c:numCache>
                <c:formatCode>General</c:formatCode>
                <c:ptCount val="36"/>
                <c:pt idx="0">
                  <c:v>242</c:v>
                </c:pt>
                <c:pt idx="1">
                  <c:v>235</c:v>
                </c:pt>
                <c:pt idx="2">
                  <c:v>232</c:v>
                </c:pt>
                <c:pt idx="3">
                  <c:v>178</c:v>
                </c:pt>
                <c:pt idx="4">
                  <c:v>184</c:v>
                </c:pt>
                <c:pt idx="5">
                  <c:v>140</c:v>
                </c:pt>
                <c:pt idx="6">
                  <c:v>145</c:v>
                </c:pt>
                <c:pt idx="7">
                  <c:v>152</c:v>
                </c:pt>
                <c:pt idx="8">
                  <c:v>110</c:v>
                </c:pt>
                <c:pt idx="9">
                  <c:v>130</c:v>
                </c:pt>
                <c:pt idx="10">
                  <c:v>152</c:v>
                </c:pt>
                <c:pt idx="11">
                  <c:v>206</c:v>
                </c:pt>
                <c:pt idx="12">
                  <c:v>263</c:v>
                </c:pt>
                <c:pt idx="13">
                  <c:v>238</c:v>
                </c:pt>
                <c:pt idx="14">
                  <c:v>247</c:v>
                </c:pt>
                <c:pt idx="15">
                  <c:v>193</c:v>
                </c:pt>
                <c:pt idx="16">
                  <c:v>193</c:v>
                </c:pt>
                <c:pt idx="17">
                  <c:v>149</c:v>
                </c:pt>
                <c:pt idx="18">
                  <c:v>157</c:v>
                </c:pt>
                <c:pt idx="19">
                  <c:v>161</c:v>
                </c:pt>
                <c:pt idx="20">
                  <c:v>122</c:v>
                </c:pt>
                <c:pt idx="21">
                  <c:v>130</c:v>
                </c:pt>
                <c:pt idx="22">
                  <c:v>167</c:v>
                </c:pt>
                <c:pt idx="23">
                  <c:v>230</c:v>
                </c:pt>
                <c:pt idx="24">
                  <c:v>282</c:v>
                </c:pt>
                <c:pt idx="25">
                  <c:v>255</c:v>
                </c:pt>
                <c:pt idx="26">
                  <c:v>265</c:v>
                </c:pt>
                <c:pt idx="27">
                  <c:v>205</c:v>
                </c:pt>
                <c:pt idx="28">
                  <c:v>210</c:v>
                </c:pt>
                <c:pt idx="29">
                  <c:v>160</c:v>
                </c:pt>
                <c:pt idx="30">
                  <c:v>166</c:v>
                </c:pt>
                <c:pt idx="31">
                  <c:v>174</c:v>
                </c:pt>
                <c:pt idx="32">
                  <c:v>126</c:v>
                </c:pt>
                <c:pt idx="33">
                  <c:v>148</c:v>
                </c:pt>
                <c:pt idx="34">
                  <c:v>173</c:v>
                </c:pt>
                <c:pt idx="35">
                  <c:v>235</c:v>
                </c:pt>
              </c:numCache>
            </c:numRef>
          </c:yVal>
          <c:smooth val="0"/>
          <c:extLst>
            <c:ext xmlns:c16="http://schemas.microsoft.com/office/drawing/2014/chart" uri="{C3380CC4-5D6E-409C-BE32-E72D297353CC}">
              <c16:uniqueId val="{00000000-5AAE-F243-8065-E2633AA7DDDD}"/>
            </c:ext>
          </c:extLst>
        </c:ser>
        <c:dLbls>
          <c:showLegendKey val="0"/>
          <c:showVal val="0"/>
          <c:showCatName val="0"/>
          <c:showSerName val="0"/>
          <c:showPercent val="0"/>
          <c:showBubbleSize val="0"/>
        </c:dLbls>
        <c:axId val="1662802240"/>
        <c:axId val="1671626911"/>
      </c:scatterChart>
      <c:valAx>
        <c:axId val="166280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26911"/>
        <c:crosses val="autoZero"/>
        <c:crossBetween val="midCat"/>
      </c:valAx>
      <c:valAx>
        <c:axId val="167162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022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31</xdr:row>
      <xdr:rowOff>88900</xdr:rowOff>
    </xdr:from>
    <xdr:to>
      <xdr:col>6</xdr:col>
      <xdr:colOff>406400</xdr:colOff>
      <xdr:row>32</xdr:row>
      <xdr:rowOff>172720</xdr:rowOff>
    </xdr:to>
    <xdr:sp macro="" textlink="">
      <xdr:nvSpPr>
        <xdr:cNvPr id="2" name="TextBox 1">
          <a:extLst>
            <a:ext uri="{FF2B5EF4-FFF2-40B4-BE49-F238E27FC236}">
              <a16:creationId xmlns:a16="http://schemas.microsoft.com/office/drawing/2014/main" id="{7E15B2CE-0C80-CDB8-A88D-B316A9841B10}"/>
            </a:ext>
          </a:extLst>
        </xdr:cNvPr>
        <xdr:cNvSpPr txBox="1"/>
      </xdr:nvSpPr>
      <xdr:spPr>
        <a:xfrm>
          <a:off x="114300" y="6449060"/>
          <a:ext cx="5229860"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Forecasted Sales for Year 4</a:t>
          </a:r>
          <a:r>
            <a:rPr lang="en-US" sz="1100" baseline="0"/>
            <a:t> (Sales=199.25 + month coeficient value + (1.017 x Month)</a:t>
          </a:r>
          <a:endParaRPr lang="en-US" sz="1100"/>
        </a:p>
      </xdr:txBody>
    </xdr:sp>
    <xdr:clientData/>
  </xdr:twoCellAnchor>
  <xdr:twoCellAnchor>
    <xdr:from>
      <xdr:col>0</xdr:col>
      <xdr:colOff>142240</xdr:colOff>
      <xdr:row>37</xdr:row>
      <xdr:rowOff>30480</xdr:rowOff>
    </xdr:from>
    <xdr:to>
      <xdr:col>4</xdr:col>
      <xdr:colOff>325120</xdr:colOff>
      <xdr:row>45</xdr:row>
      <xdr:rowOff>71120</xdr:rowOff>
    </xdr:to>
    <xdr:sp macro="" textlink="">
      <xdr:nvSpPr>
        <xdr:cNvPr id="3" name="TextBox 2">
          <a:extLst>
            <a:ext uri="{FF2B5EF4-FFF2-40B4-BE49-F238E27FC236}">
              <a16:creationId xmlns:a16="http://schemas.microsoft.com/office/drawing/2014/main" id="{F2F4FCB4-CF99-7825-2649-F0B7E07BC0B3}"/>
            </a:ext>
          </a:extLst>
        </xdr:cNvPr>
        <xdr:cNvSpPr txBox="1"/>
      </xdr:nvSpPr>
      <xdr:spPr>
        <a:xfrm>
          <a:off x="142240" y="7609840"/>
          <a:ext cx="3474720" cy="166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a:t>
          </a:r>
          <a:r>
            <a:rPr lang="en-US" sz="1100" baseline="0"/>
            <a:t> explain this model to Karen, I would tell her that for each month passing this model adds roughly $1,017 to the forecast which represents the slight upwards long term trend. For the use of the dummies, it again matches the trend of some months being busier than others and the model has a positive or negative for each month to add in for this. With January having the highest positive amount and September with the highest negative amount. </a:t>
          </a:r>
          <a:endParaRPr lang="en-US" sz="1100"/>
        </a:p>
      </xdr:txBody>
    </xdr:sp>
    <xdr:clientData/>
  </xdr:twoCellAnchor>
  <xdr:twoCellAnchor>
    <xdr:from>
      <xdr:col>5</xdr:col>
      <xdr:colOff>30480</xdr:colOff>
      <xdr:row>37</xdr:row>
      <xdr:rowOff>71120</xdr:rowOff>
    </xdr:from>
    <xdr:to>
      <xdr:col>10</xdr:col>
      <xdr:colOff>365760</xdr:colOff>
      <xdr:row>45</xdr:row>
      <xdr:rowOff>71120</xdr:rowOff>
    </xdr:to>
    <xdr:sp macro="" textlink="">
      <xdr:nvSpPr>
        <xdr:cNvPr id="4" name="TextBox 3">
          <a:extLst>
            <a:ext uri="{FF2B5EF4-FFF2-40B4-BE49-F238E27FC236}">
              <a16:creationId xmlns:a16="http://schemas.microsoft.com/office/drawing/2014/main" id="{3D254A58-43C1-DBC6-9C7D-AAB74A53A521}"/>
            </a:ext>
          </a:extLst>
        </xdr:cNvPr>
        <xdr:cNvSpPr txBox="1"/>
      </xdr:nvSpPr>
      <xdr:spPr>
        <a:xfrm>
          <a:off x="4145280" y="7650480"/>
          <a:ext cx="4450080" cy="162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January</a:t>
          </a:r>
          <a:r>
            <a:rPr lang="en-US" sz="1100" baseline="0"/>
            <a:t> sales for the 4th year came in at $295,000, the forecast error would be $8.26</a:t>
          </a:r>
        </a:p>
        <a:p>
          <a:endParaRPr lang="en-US" sz="1100" baseline="0"/>
        </a:p>
        <a:p>
          <a:r>
            <a:rPr lang="en-US" sz="1100" baseline="0"/>
            <a:t>If this error was large and Karen was confused and uncertain about the forecasting procedure, I would try to give her ranges instead of one solid number or point since the restaraunt industry can have some randomness to it. External factors can come into play here. I could also continue to test actual sales that come in at the months to the forecasting procedure to keep updating and refining it to become more accurate over time.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39</xdr:row>
      <xdr:rowOff>95250</xdr:rowOff>
    </xdr:from>
    <xdr:to>
      <xdr:col>4</xdr:col>
      <xdr:colOff>520700</xdr:colOff>
      <xdr:row>52</xdr:row>
      <xdr:rowOff>196850</xdr:rowOff>
    </xdr:to>
    <xdr:graphicFrame macro="">
      <xdr:nvGraphicFramePr>
        <xdr:cNvPr id="3" name="Chart 2">
          <a:extLst>
            <a:ext uri="{FF2B5EF4-FFF2-40B4-BE49-F238E27FC236}">
              <a16:creationId xmlns:a16="http://schemas.microsoft.com/office/drawing/2014/main" id="{6F7040CE-6A2E-1A14-F083-8CC0699D4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177800</xdr:colOff>
      <xdr:row>53</xdr:row>
      <xdr:rowOff>139700</xdr:rowOff>
    </xdr:from>
    <xdr:to>
      <xdr:col>4</xdr:col>
      <xdr:colOff>355600</xdr:colOff>
      <xdr:row>59</xdr:row>
      <xdr:rowOff>50800</xdr:rowOff>
    </xdr:to>
    <xdr:sp macro="" textlink="">
      <xdr:nvSpPr>
        <xdr:cNvPr id="4" name="TextBox 3">
          <a:extLst>
            <a:ext uri="{FF2B5EF4-FFF2-40B4-BE49-F238E27FC236}">
              <a16:creationId xmlns:a16="http://schemas.microsoft.com/office/drawing/2014/main" id="{F204738F-78E1-3DF0-4E72-B5ECC0946843}"/>
            </a:ext>
          </a:extLst>
        </xdr:cNvPr>
        <xdr:cNvSpPr txBox="1"/>
      </xdr:nvSpPr>
      <xdr:spPr>
        <a:xfrm>
          <a:off x="177800" y="10909300"/>
          <a:ext cx="4318000" cy="1130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underlying pattern in this time series is that it</a:t>
          </a:r>
          <a:r>
            <a:rPr lang="en-US" sz="1100" baseline="0"/>
            <a:t> seems to siplay a seasonal trend/pattern(seasonality). Sales consistenly fall during the summer and fall months but rise in the winter and spring months. There is a slight upward trend as well for long term sales with each year slightly going up in their peaks and drops. </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33AC-CC87-6747-95C8-86E2926738D6}">
  <dimension ref="A1:L48"/>
  <sheetViews>
    <sheetView topLeftCell="A16" zoomScale="109" workbookViewId="0">
      <selection activeCell="J24" sqref="J24"/>
    </sheetView>
  </sheetViews>
  <sheetFormatPr baseColWidth="10" defaultRowHeight="16" x14ac:dyDescent="0.2"/>
  <sheetData>
    <row r="1" spans="1:9" x14ac:dyDescent="0.2">
      <c r="A1" t="s">
        <v>16</v>
      </c>
    </row>
    <row r="2" spans="1:9" ht="17" thickBot="1" x14ac:dyDescent="0.25"/>
    <row r="3" spans="1:9" x14ac:dyDescent="0.2">
      <c r="A3" s="7" t="s">
        <v>17</v>
      </c>
      <c r="B3" s="7"/>
    </row>
    <row r="4" spans="1:9" x14ac:dyDescent="0.2">
      <c r="A4" s="4" t="s">
        <v>18</v>
      </c>
      <c r="B4" s="4">
        <v>0.99708229958431915</v>
      </c>
    </row>
    <row r="5" spans="1:9" x14ac:dyDescent="0.2">
      <c r="A5" s="4" t="s">
        <v>19</v>
      </c>
      <c r="B5" s="4">
        <v>0.994173112144354</v>
      </c>
    </row>
    <row r="6" spans="1:9" x14ac:dyDescent="0.2">
      <c r="A6" s="4" t="s">
        <v>20</v>
      </c>
      <c r="B6" s="4">
        <v>0.94765473587184301</v>
      </c>
    </row>
    <row r="7" spans="1:9" x14ac:dyDescent="0.2">
      <c r="A7" s="4" t="s">
        <v>21</v>
      </c>
      <c r="B7" s="4">
        <v>4.4410388522232722</v>
      </c>
    </row>
    <row r="8" spans="1:9" ht="17" thickBot="1" x14ac:dyDescent="0.25">
      <c r="A8" s="5" t="s">
        <v>22</v>
      </c>
      <c r="B8" s="5">
        <v>36</v>
      </c>
    </row>
    <row r="10" spans="1:9" ht="17" thickBot="1" x14ac:dyDescent="0.25">
      <c r="A10" t="s">
        <v>23</v>
      </c>
    </row>
    <row r="11" spans="1:9" x14ac:dyDescent="0.2">
      <c r="A11" s="6"/>
      <c r="B11" s="6" t="s">
        <v>28</v>
      </c>
      <c r="C11" s="6" t="s">
        <v>29</v>
      </c>
      <c r="D11" s="6" t="s">
        <v>30</v>
      </c>
      <c r="E11" s="6" t="s">
        <v>31</v>
      </c>
      <c r="F11" s="6" t="s">
        <v>32</v>
      </c>
    </row>
    <row r="12" spans="1:9" x14ac:dyDescent="0.2">
      <c r="A12" s="4" t="s">
        <v>24</v>
      </c>
      <c r="B12" s="4">
        <v>13</v>
      </c>
      <c r="C12" s="4">
        <v>77396.680555555547</v>
      </c>
      <c r="D12" s="4">
        <v>5953.5908119658116</v>
      </c>
      <c r="E12" s="4">
        <v>327.01821489441915</v>
      </c>
      <c r="F12" s="4">
        <v>4.8899058557304688E-22</v>
      </c>
    </row>
    <row r="13" spans="1:9" x14ac:dyDescent="0.2">
      <c r="A13" s="4" t="s">
        <v>25</v>
      </c>
      <c r="B13" s="4">
        <v>23</v>
      </c>
      <c r="C13" s="4">
        <v>453.62500000000176</v>
      </c>
      <c r="D13" s="4">
        <v>19.722826086956598</v>
      </c>
      <c r="E13" s="4"/>
      <c r="F13" s="4"/>
    </row>
    <row r="14" spans="1:9" ht="17" thickBot="1" x14ac:dyDescent="0.25">
      <c r="A14" s="5" t="s">
        <v>26</v>
      </c>
      <c r="B14" s="5">
        <v>36</v>
      </c>
      <c r="C14" s="5">
        <v>77850.305555555547</v>
      </c>
      <c r="D14" s="5"/>
      <c r="E14" s="5"/>
      <c r="F14" s="5"/>
    </row>
    <row r="15" spans="1:9" ht="17" thickBot="1" x14ac:dyDescent="0.25"/>
    <row r="16" spans="1:9" x14ac:dyDescent="0.2">
      <c r="A16" s="6"/>
      <c r="B16" s="6" t="s">
        <v>33</v>
      </c>
      <c r="C16" s="6" t="s">
        <v>21</v>
      </c>
      <c r="D16" s="6" t="s">
        <v>34</v>
      </c>
      <c r="E16" s="6" t="s">
        <v>35</v>
      </c>
      <c r="F16" s="6" t="s">
        <v>36</v>
      </c>
      <c r="G16" s="6" t="s">
        <v>37</v>
      </c>
      <c r="H16" s="6" t="s">
        <v>38</v>
      </c>
      <c r="I16" s="6" t="s">
        <v>39</v>
      </c>
    </row>
    <row r="17" spans="1:9" x14ac:dyDescent="0.2">
      <c r="A17" s="4" t="s">
        <v>27</v>
      </c>
      <c r="B17" s="4">
        <v>199.24999999999997</v>
      </c>
      <c r="C17" s="4">
        <v>3.1402886879199987</v>
      </c>
      <c r="D17" s="4">
        <v>63.449580532665991</v>
      </c>
      <c r="E17" s="4">
        <v>2.472017257200327E-27</v>
      </c>
      <c r="F17" s="4">
        <v>192.75381790682141</v>
      </c>
      <c r="G17" s="4">
        <v>205.74618209317853</v>
      </c>
      <c r="H17" s="4">
        <v>192.75381790682141</v>
      </c>
      <c r="I17" s="4">
        <v>205.74618209317853</v>
      </c>
    </row>
    <row r="18" spans="1:9" x14ac:dyDescent="0.2">
      <c r="A18" s="4" t="s">
        <v>3</v>
      </c>
      <c r="B18" s="4">
        <v>49.857638888888843</v>
      </c>
      <c r="C18" s="4">
        <v>3.7200911159716612</v>
      </c>
      <c r="D18" s="4">
        <v>13.402262830292635</v>
      </c>
      <c r="E18" s="4">
        <v>2.3622686813614214E-12</v>
      </c>
      <c r="F18" s="4">
        <v>42.162044090381769</v>
      </c>
      <c r="G18" s="4">
        <v>57.553233687395917</v>
      </c>
      <c r="H18" s="4">
        <v>42.162044090381769</v>
      </c>
      <c r="I18" s="4">
        <v>57.553233687395917</v>
      </c>
    </row>
    <row r="19" spans="1:9" x14ac:dyDescent="0.2">
      <c r="A19" s="4" t="s">
        <v>4</v>
      </c>
      <c r="B19" s="4">
        <v>29.173611111111121</v>
      </c>
      <c r="C19" s="4">
        <v>3.7039484809914711</v>
      </c>
      <c r="D19" s="4">
        <v>7.8763544527762823</v>
      </c>
      <c r="E19" s="4">
        <v>5.5973376205363643E-8</v>
      </c>
      <c r="F19" s="4">
        <v>21.511409897308038</v>
      </c>
      <c r="G19" s="4">
        <v>36.835812324914201</v>
      </c>
      <c r="H19" s="4">
        <v>21.511409897308038</v>
      </c>
      <c r="I19" s="4">
        <v>36.835812324914201</v>
      </c>
    </row>
    <row r="20" spans="1:9" x14ac:dyDescent="0.2">
      <c r="A20" s="4" t="s">
        <v>5</v>
      </c>
      <c r="B20" s="4">
        <v>33.489583333333307</v>
      </c>
      <c r="C20" s="4">
        <v>3.6892823775160908</v>
      </c>
      <c r="D20" s="4">
        <v>9.0775332182301192</v>
      </c>
      <c r="E20" s="4">
        <v>4.5941874167709742E-9</v>
      </c>
      <c r="F20" s="4">
        <v>25.857721266099762</v>
      </c>
      <c r="G20" s="4">
        <v>41.121445400566849</v>
      </c>
      <c r="H20" s="4">
        <v>25.857721266099762</v>
      </c>
      <c r="I20" s="4">
        <v>41.121445400566849</v>
      </c>
    </row>
    <row r="21" spans="1:9" x14ac:dyDescent="0.2">
      <c r="A21" s="4" t="s">
        <v>6</v>
      </c>
      <c r="B21" s="4">
        <v>-23.527777777777782</v>
      </c>
      <c r="C21" s="4">
        <v>3.6761104777694822</v>
      </c>
      <c r="D21" s="4">
        <v>-6.400182453725793</v>
      </c>
      <c r="E21" s="4">
        <v>1.5688108029570591E-6</v>
      </c>
      <c r="F21" s="4">
        <v>-31.132391694356826</v>
      </c>
      <c r="G21" s="4">
        <v>-15.923163861198736</v>
      </c>
      <c r="H21" s="4">
        <v>-31.132391694356826</v>
      </c>
      <c r="I21" s="4">
        <v>-15.923163861198736</v>
      </c>
    </row>
    <row r="22" spans="1:9" x14ac:dyDescent="0.2">
      <c r="A22" s="4" t="s">
        <v>7</v>
      </c>
      <c r="B22" s="4">
        <v>-20.878472222222221</v>
      </c>
      <c r="C22" s="4">
        <v>3.6644488945796976</v>
      </c>
      <c r="D22" s="4">
        <v>-5.6975749486109084</v>
      </c>
      <c r="E22" s="4">
        <v>8.4131811625011761E-6</v>
      </c>
      <c r="F22" s="4">
        <v>-28.458962315986184</v>
      </c>
      <c r="G22" s="4">
        <v>-13.297982128458258</v>
      </c>
      <c r="H22" s="4">
        <v>-28.458962315986184</v>
      </c>
      <c r="I22" s="4">
        <v>-13.297982128458258</v>
      </c>
    </row>
    <row r="23" spans="1:9" x14ac:dyDescent="0.2">
      <c r="A23" s="4" t="s">
        <v>8</v>
      </c>
      <c r="B23" s="4">
        <v>-67.895833333333343</v>
      </c>
      <c r="C23" s="4">
        <v>3.6543120870705885</v>
      </c>
      <c r="D23" s="4">
        <v>-18.579648293739677</v>
      </c>
      <c r="E23" s="4">
        <v>2.3937254265292167E-15</v>
      </c>
      <c r="F23" s="4">
        <v>-75.455353843098237</v>
      </c>
      <c r="G23" s="4">
        <v>-60.336312823568448</v>
      </c>
      <c r="H23" s="4">
        <v>-75.455353843098237</v>
      </c>
      <c r="I23" s="4">
        <v>-60.336312823568448</v>
      </c>
    </row>
    <row r="24" spans="1:9" x14ac:dyDescent="0.2">
      <c r="A24" s="4" t="s">
        <v>9</v>
      </c>
      <c r="B24" s="4">
        <v>-62.5798611111111</v>
      </c>
      <c r="C24" s="4">
        <v>3.6457127740591484</v>
      </c>
      <c r="D24" s="4">
        <v>-17.165329522499515</v>
      </c>
      <c r="E24" s="4">
        <v>1.3146587497069986E-14</v>
      </c>
      <c r="F24" s="4">
        <v>-70.1215925865705</v>
      </c>
      <c r="G24" s="4">
        <v>-55.0381296356517</v>
      </c>
      <c r="H24" s="4">
        <v>-70.1215925865705</v>
      </c>
      <c r="I24" s="4">
        <v>-55.0381296356517</v>
      </c>
    </row>
    <row r="25" spans="1:9" x14ac:dyDescent="0.2">
      <c r="A25" s="4" t="s">
        <v>10</v>
      </c>
      <c r="B25" s="4">
        <v>-57.263888888888893</v>
      </c>
      <c r="C25" s="4">
        <v>3.638661856324374</v>
      </c>
      <c r="D25" s="4">
        <v>-15.737623101569133</v>
      </c>
      <c r="E25" s="4">
        <v>8.3329311978198504E-14</v>
      </c>
      <c r="F25" s="4">
        <v>-64.791034429715808</v>
      </c>
      <c r="G25" s="4">
        <v>-49.736743348061971</v>
      </c>
      <c r="H25" s="4">
        <v>-64.791034429715808</v>
      </c>
      <c r="I25" s="4">
        <v>-49.736743348061971</v>
      </c>
    </row>
    <row r="26" spans="1:9" x14ac:dyDescent="0.2">
      <c r="A26" s="4" t="s">
        <v>11</v>
      </c>
      <c r="B26" s="4">
        <v>-101.28124999999997</v>
      </c>
      <c r="C26" s="4">
        <v>3.6331683488252846</v>
      </c>
      <c r="D26" s="4">
        <v>-27.87683924218577</v>
      </c>
      <c r="E26" s="4">
        <v>3.1316658346077679E-19</v>
      </c>
      <c r="F26" s="4">
        <v>-108.797031354731</v>
      </c>
      <c r="G26" s="4">
        <v>-93.765468645268939</v>
      </c>
      <c r="H26" s="4">
        <v>-108.797031354731</v>
      </c>
      <c r="I26" s="4">
        <v>-93.765468645268939</v>
      </c>
    </row>
    <row r="27" spans="1:9" x14ac:dyDescent="0.2">
      <c r="A27" s="4" t="s">
        <v>12</v>
      </c>
      <c r="B27" s="4">
        <v>-85.631944444444485</v>
      </c>
      <c r="C27" s="4">
        <v>3.6292393238316194</v>
      </c>
      <c r="D27" s="4">
        <v>-23.595011737621476</v>
      </c>
      <c r="E27" s="4">
        <v>1.2801271292340549E-17</v>
      </c>
      <c r="F27" s="4">
        <v>-93.139597991720848</v>
      </c>
      <c r="G27" s="4">
        <v>-78.124290897168123</v>
      </c>
      <c r="H27" s="4">
        <v>-93.139597991720848</v>
      </c>
      <c r="I27" s="4">
        <v>-78.124290897168123</v>
      </c>
    </row>
    <row r="28" spans="1:9" x14ac:dyDescent="0.2">
      <c r="A28" s="4" t="s">
        <v>14</v>
      </c>
      <c r="B28" s="4">
        <v>-58.649305555555593</v>
      </c>
      <c r="C28" s="4">
        <v>3.6268798657923242</v>
      </c>
      <c r="D28" s="4">
        <v>-16.170732895985548</v>
      </c>
      <c r="E28" s="4">
        <v>4.6903018512724601E-14</v>
      </c>
      <c r="F28" s="4">
        <v>-66.152078192002506</v>
      </c>
      <c r="G28" s="4">
        <v>-51.146532919108679</v>
      </c>
      <c r="H28" s="4">
        <v>-66.152078192002506</v>
      </c>
      <c r="I28" s="4">
        <v>-51.146532919108679</v>
      </c>
    </row>
    <row r="29" spans="1:9" x14ac:dyDescent="0.2">
      <c r="A29" s="4" t="s">
        <v>15</v>
      </c>
      <c r="B29" s="4">
        <v>0</v>
      </c>
      <c r="C29" s="4">
        <v>0</v>
      </c>
      <c r="D29" s="4">
        <v>65535</v>
      </c>
      <c r="E29" s="4" t="e">
        <v>#NUM!</v>
      </c>
      <c r="F29" s="4">
        <v>0</v>
      </c>
      <c r="G29" s="4">
        <v>0</v>
      </c>
      <c r="H29" s="4">
        <v>0</v>
      </c>
      <c r="I29" s="4">
        <v>0</v>
      </c>
    </row>
    <row r="30" spans="1:9" ht="17" thickBot="1" x14ac:dyDescent="0.25">
      <c r="A30" s="5" t="s">
        <v>0</v>
      </c>
      <c r="B30" s="5">
        <v>1.0173611111111118</v>
      </c>
      <c r="C30" s="5">
        <v>7.5543604970989484E-2</v>
      </c>
      <c r="D30" s="5">
        <v>13.467203630298055</v>
      </c>
      <c r="E30" s="5" t="e">
        <v>#NUM!</v>
      </c>
      <c r="F30" s="5">
        <v>0.86108725776938411</v>
      </c>
      <c r="G30" s="5">
        <v>1.1736349644528394</v>
      </c>
      <c r="H30" s="5">
        <v>0.86108725776938411</v>
      </c>
      <c r="I30" s="5">
        <v>1.1736349644528394</v>
      </c>
    </row>
    <row r="33" spans="1:12" x14ac:dyDescent="0.2">
      <c r="A33" s="2" t="s">
        <v>40</v>
      </c>
    </row>
    <row r="35" spans="1:12" x14ac:dyDescent="0.2">
      <c r="A35" s="3" t="s">
        <v>3</v>
      </c>
      <c r="B35" s="3" t="s">
        <v>4</v>
      </c>
      <c r="C35" s="3" t="s">
        <v>5</v>
      </c>
      <c r="D35" s="3" t="s">
        <v>6</v>
      </c>
      <c r="E35" s="3" t="s">
        <v>7</v>
      </c>
      <c r="F35" s="3" t="s">
        <v>8</v>
      </c>
      <c r="G35" s="3" t="s">
        <v>9</v>
      </c>
      <c r="H35" s="3" t="s">
        <v>10</v>
      </c>
      <c r="I35" s="3" t="s">
        <v>11</v>
      </c>
      <c r="J35" s="3" t="s">
        <v>12</v>
      </c>
      <c r="K35" s="3" t="s">
        <v>14</v>
      </c>
      <c r="L35" s="3" t="s">
        <v>15</v>
      </c>
    </row>
    <row r="36" spans="1:12" x14ac:dyDescent="0.2">
      <c r="A36">
        <f>B17+B18+(1.017*37)</f>
        <v>286.73663888888882</v>
      </c>
      <c r="B36">
        <f>B17+B19+(1.017*38)</f>
        <v>267.0696111111111</v>
      </c>
      <c r="C36">
        <f>B17+B20+(1.017*39)</f>
        <v>272.40258333333327</v>
      </c>
      <c r="D36">
        <f>B17+B21+(1.017*40)</f>
        <v>216.40222222222218</v>
      </c>
      <c r="E36">
        <f>B17+B22+(1.017*41)</f>
        <v>220.06852777777775</v>
      </c>
      <c r="F36">
        <f>B17+B23+(1.017*42)</f>
        <v>174.06816666666663</v>
      </c>
      <c r="G36">
        <f>B17+B24+(1.017*43)</f>
        <v>180.40113888888885</v>
      </c>
      <c r="H36">
        <f>B17+B25+(1.017*44)</f>
        <v>186.73411111111108</v>
      </c>
      <c r="I36">
        <f>B17+B26+(1.017*45)</f>
        <v>143.73374999999999</v>
      </c>
      <c r="J36">
        <f>B17+B27+(1.017*46)</f>
        <v>160.40005555555547</v>
      </c>
      <c r="K36">
        <f>B17+B28+(1.017*47)</f>
        <v>188.39969444444438</v>
      </c>
      <c r="L36">
        <f>B17+(1.017*48)</f>
        <v>248.06599999999997</v>
      </c>
    </row>
    <row r="47" spans="1:12" x14ac:dyDescent="0.2">
      <c r="F47" s="2" t="s">
        <v>41</v>
      </c>
      <c r="H47">
        <v>295</v>
      </c>
    </row>
    <row r="48" spans="1:12" x14ac:dyDescent="0.2">
      <c r="F48">
        <f>H47-H48</f>
        <v>8.2599999999999909</v>
      </c>
      <c r="H48">
        <v>286.74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opLeftCell="A25" workbookViewId="0">
      <selection activeCell="C1" sqref="C1"/>
    </sheetView>
  </sheetViews>
  <sheetFormatPr baseColWidth="10" defaultColWidth="8.83203125" defaultRowHeight="16" x14ac:dyDescent="0.2"/>
  <cols>
    <col min="1" max="1" width="15.1640625" customWidth="1"/>
    <col min="2" max="2" width="15.6640625" customWidth="1"/>
    <col min="3" max="3" width="13.5" customWidth="1"/>
    <col min="4" max="4" width="9.1640625" customWidth="1"/>
    <col min="6" max="6" width="8.5" customWidth="1"/>
  </cols>
  <sheetData>
    <row r="1" spans="1:16" x14ac:dyDescent="0.2">
      <c r="A1" s="1" t="s">
        <v>0</v>
      </c>
      <c r="B1" s="1" t="s">
        <v>1</v>
      </c>
      <c r="C1" s="1" t="s">
        <v>13</v>
      </c>
      <c r="D1" s="3" t="s">
        <v>3</v>
      </c>
      <c r="E1" s="3" t="s">
        <v>4</v>
      </c>
      <c r="F1" s="3" t="s">
        <v>5</v>
      </c>
      <c r="G1" s="3" t="s">
        <v>6</v>
      </c>
      <c r="H1" s="3" t="s">
        <v>7</v>
      </c>
      <c r="I1" s="3" t="s">
        <v>8</v>
      </c>
      <c r="J1" s="3" t="s">
        <v>9</v>
      </c>
      <c r="K1" s="3" t="s">
        <v>10</v>
      </c>
      <c r="L1" s="3" t="s">
        <v>11</v>
      </c>
      <c r="M1" s="3" t="s">
        <v>12</v>
      </c>
      <c r="N1" s="3" t="s">
        <v>14</v>
      </c>
      <c r="O1" s="3" t="s">
        <v>15</v>
      </c>
      <c r="P1" s="1" t="s">
        <v>0</v>
      </c>
    </row>
    <row r="2" spans="1:16" x14ac:dyDescent="0.2">
      <c r="A2">
        <v>1</v>
      </c>
      <c r="B2">
        <v>242</v>
      </c>
      <c r="C2">
        <v>1</v>
      </c>
      <c r="D2">
        <f>IF(C2=1,1,0)</f>
        <v>1</v>
      </c>
      <c r="E2">
        <f>IF(C2=2,1,0)</f>
        <v>0</v>
      </c>
      <c r="F2">
        <f>IF(C2=3,1,0)</f>
        <v>0</v>
      </c>
      <c r="G2">
        <f>IF(C2=4,1,0)</f>
        <v>0</v>
      </c>
      <c r="H2">
        <f>IF(C2=5,1,0)</f>
        <v>0</v>
      </c>
      <c r="I2">
        <f>IF(C2=6,1,0)</f>
        <v>0</v>
      </c>
      <c r="J2">
        <f>IF(C2=7,1,0)</f>
        <v>0</v>
      </c>
      <c r="K2">
        <f>IF(C2=8,1,0)</f>
        <v>0</v>
      </c>
      <c r="L2">
        <f>IF(C2=9,1,0)</f>
        <v>0</v>
      </c>
      <c r="M2">
        <f>IF(C2=10,1,0)</f>
        <v>0</v>
      </c>
      <c r="N2">
        <f>IF(C2=11,1,0)</f>
        <v>0</v>
      </c>
      <c r="O2">
        <f>IF(C2=12,1,0)</f>
        <v>0</v>
      </c>
      <c r="P2">
        <v>1</v>
      </c>
    </row>
    <row r="3" spans="1:16" x14ac:dyDescent="0.2">
      <c r="A3">
        <v>2</v>
      </c>
      <c r="B3">
        <v>235</v>
      </c>
      <c r="C3">
        <v>2</v>
      </c>
      <c r="D3">
        <f t="shared" ref="D3:D37" si="0">IF(C3=1,1,0)</f>
        <v>0</v>
      </c>
      <c r="E3">
        <f t="shared" ref="E3:E37" si="1">IF(C3=2,1,0)</f>
        <v>1</v>
      </c>
      <c r="F3">
        <f t="shared" ref="F3:F37" si="2">IF(C3=3,1,0)</f>
        <v>0</v>
      </c>
      <c r="G3">
        <f t="shared" ref="G3:G37" si="3">IF(C3=4,1,0)</f>
        <v>0</v>
      </c>
      <c r="H3">
        <f t="shared" ref="H3:H37" si="4">IF(C3=5,1,0)</f>
        <v>0</v>
      </c>
      <c r="I3">
        <f t="shared" ref="I3:I37" si="5">IF(C3=6,1,0)</f>
        <v>0</v>
      </c>
      <c r="J3">
        <f t="shared" ref="J3:J37" si="6">IF(C3=7,1,0)</f>
        <v>0</v>
      </c>
      <c r="K3">
        <f t="shared" ref="K3:K37" si="7">IF(C3=8,1,0)</f>
        <v>0</v>
      </c>
      <c r="L3">
        <f t="shared" ref="L3:L37" si="8">IF(C3=9,1,0)</f>
        <v>0</v>
      </c>
      <c r="M3">
        <f t="shared" ref="M3:M37" si="9">IF(C3=10,1,0)</f>
        <v>0</v>
      </c>
      <c r="N3">
        <f t="shared" ref="N3:N37" si="10">IF(C3=11,1,0)</f>
        <v>0</v>
      </c>
      <c r="O3">
        <f t="shared" ref="O3:O37" si="11">IF(C3=12,1,0)</f>
        <v>0</v>
      </c>
      <c r="P3">
        <v>2</v>
      </c>
    </row>
    <row r="4" spans="1:16" x14ac:dyDescent="0.2">
      <c r="A4">
        <v>3</v>
      </c>
      <c r="B4">
        <v>232</v>
      </c>
      <c r="C4">
        <v>3</v>
      </c>
      <c r="D4">
        <f t="shared" si="0"/>
        <v>0</v>
      </c>
      <c r="E4">
        <f t="shared" si="1"/>
        <v>0</v>
      </c>
      <c r="F4">
        <f t="shared" si="2"/>
        <v>1</v>
      </c>
      <c r="G4">
        <f t="shared" si="3"/>
        <v>0</v>
      </c>
      <c r="H4">
        <f t="shared" si="4"/>
        <v>0</v>
      </c>
      <c r="I4">
        <f t="shared" si="5"/>
        <v>0</v>
      </c>
      <c r="J4">
        <f t="shared" si="6"/>
        <v>0</v>
      </c>
      <c r="K4">
        <f t="shared" si="7"/>
        <v>0</v>
      </c>
      <c r="L4">
        <f t="shared" si="8"/>
        <v>0</v>
      </c>
      <c r="M4">
        <f t="shared" si="9"/>
        <v>0</v>
      </c>
      <c r="N4">
        <f t="shared" si="10"/>
        <v>0</v>
      </c>
      <c r="O4">
        <f t="shared" si="11"/>
        <v>0</v>
      </c>
      <c r="P4">
        <v>3</v>
      </c>
    </row>
    <row r="5" spans="1:16" x14ac:dyDescent="0.2">
      <c r="A5">
        <v>4</v>
      </c>
      <c r="B5">
        <v>178</v>
      </c>
      <c r="C5">
        <v>4</v>
      </c>
      <c r="D5">
        <f t="shared" si="0"/>
        <v>0</v>
      </c>
      <c r="E5">
        <f t="shared" si="1"/>
        <v>0</v>
      </c>
      <c r="F5">
        <f t="shared" si="2"/>
        <v>0</v>
      </c>
      <c r="G5">
        <f t="shared" si="3"/>
        <v>1</v>
      </c>
      <c r="H5">
        <f t="shared" si="4"/>
        <v>0</v>
      </c>
      <c r="I5">
        <f t="shared" si="5"/>
        <v>0</v>
      </c>
      <c r="J5">
        <f t="shared" si="6"/>
        <v>0</v>
      </c>
      <c r="K5">
        <f t="shared" si="7"/>
        <v>0</v>
      </c>
      <c r="L5">
        <f t="shared" si="8"/>
        <v>0</v>
      </c>
      <c r="M5">
        <f t="shared" si="9"/>
        <v>0</v>
      </c>
      <c r="N5">
        <f t="shared" si="10"/>
        <v>0</v>
      </c>
      <c r="O5">
        <f t="shared" si="11"/>
        <v>0</v>
      </c>
      <c r="P5">
        <v>4</v>
      </c>
    </row>
    <row r="6" spans="1:16" x14ac:dyDescent="0.2">
      <c r="A6">
        <v>5</v>
      </c>
      <c r="B6">
        <v>184</v>
      </c>
      <c r="C6">
        <v>5</v>
      </c>
      <c r="D6">
        <f t="shared" si="0"/>
        <v>0</v>
      </c>
      <c r="E6">
        <f t="shared" si="1"/>
        <v>0</v>
      </c>
      <c r="F6">
        <f t="shared" si="2"/>
        <v>0</v>
      </c>
      <c r="G6">
        <f t="shared" si="3"/>
        <v>0</v>
      </c>
      <c r="H6">
        <f t="shared" si="4"/>
        <v>1</v>
      </c>
      <c r="I6">
        <f t="shared" si="5"/>
        <v>0</v>
      </c>
      <c r="J6">
        <f t="shared" si="6"/>
        <v>0</v>
      </c>
      <c r="K6">
        <f t="shared" si="7"/>
        <v>0</v>
      </c>
      <c r="L6">
        <f t="shared" si="8"/>
        <v>0</v>
      </c>
      <c r="M6">
        <f t="shared" si="9"/>
        <v>0</v>
      </c>
      <c r="N6">
        <f t="shared" si="10"/>
        <v>0</v>
      </c>
      <c r="O6">
        <f t="shared" si="11"/>
        <v>0</v>
      </c>
      <c r="P6">
        <v>5</v>
      </c>
    </row>
    <row r="7" spans="1:16" x14ac:dyDescent="0.2">
      <c r="A7">
        <v>6</v>
      </c>
      <c r="B7">
        <v>140</v>
      </c>
      <c r="C7">
        <v>6</v>
      </c>
      <c r="D7">
        <f t="shared" si="0"/>
        <v>0</v>
      </c>
      <c r="E7">
        <f t="shared" si="1"/>
        <v>0</v>
      </c>
      <c r="F7">
        <f t="shared" si="2"/>
        <v>0</v>
      </c>
      <c r="G7">
        <f t="shared" si="3"/>
        <v>0</v>
      </c>
      <c r="H7">
        <f t="shared" si="4"/>
        <v>0</v>
      </c>
      <c r="I7">
        <f t="shared" si="5"/>
        <v>1</v>
      </c>
      <c r="J7">
        <f t="shared" si="6"/>
        <v>0</v>
      </c>
      <c r="K7">
        <f t="shared" si="7"/>
        <v>0</v>
      </c>
      <c r="L7">
        <f t="shared" si="8"/>
        <v>0</v>
      </c>
      <c r="M7">
        <f t="shared" si="9"/>
        <v>0</v>
      </c>
      <c r="N7">
        <f t="shared" si="10"/>
        <v>0</v>
      </c>
      <c r="O7">
        <f t="shared" si="11"/>
        <v>0</v>
      </c>
      <c r="P7">
        <v>6</v>
      </c>
    </row>
    <row r="8" spans="1:16" x14ac:dyDescent="0.2">
      <c r="A8">
        <v>7</v>
      </c>
      <c r="B8">
        <v>145</v>
      </c>
      <c r="C8">
        <v>7</v>
      </c>
      <c r="D8">
        <f t="shared" si="0"/>
        <v>0</v>
      </c>
      <c r="E8">
        <f t="shared" si="1"/>
        <v>0</v>
      </c>
      <c r="F8">
        <f t="shared" si="2"/>
        <v>0</v>
      </c>
      <c r="G8">
        <f t="shared" si="3"/>
        <v>0</v>
      </c>
      <c r="H8">
        <f t="shared" si="4"/>
        <v>0</v>
      </c>
      <c r="I8">
        <f t="shared" si="5"/>
        <v>0</v>
      </c>
      <c r="J8">
        <f t="shared" si="6"/>
        <v>1</v>
      </c>
      <c r="K8">
        <f t="shared" si="7"/>
        <v>0</v>
      </c>
      <c r="L8">
        <f t="shared" si="8"/>
        <v>0</v>
      </c>
      <c r="M8">
        <f t="shared" si="9"/>
        <v>0</v>
      </c>
      <c r="N8">
        <f t="shared" si="10"/>
        <v>0</v>
      </c>
      <c r="O8">
        <f t="shared" si="11"/>
        <v>0</v>
      </c>
      <c r="P8">
        <v>7</v>
      </c>
    </row>
    <row r="9" spans="1:16" x14ac:dyDescent="0.2">
      <c r="A9">
        <v>8</v>
      </c>
      <c r="B9">
        <v>152</v>
      </c>
      <c r="C9">
        <v>8</v>
      </c>
      <c r="D9">
        <f t="shared" si="0"/>
        <v>0</v>
      </c>
      <c r="E9">
        <f t="shared" si="1"/>
        <v>0</v>
      </c>
      <c r="F9">
        <f t="shared" si="2"/>
        <v>0</v>
      </c>
      <c r="G9">
        <f t="shared" si="3"/>
        <v>0</v>
      </c>
      <c r="H9">
        <f t="shared" si="4"/>
        <v>0</v>
      </c>
      <c r="I9">
        <f t="shared" si="5"/>
        <v>0</v>
      </c>
      <c r="J9">
        <f t="shared" si="6"/>
        <v>0</v>
      </c>
      <c r="K9">
        <f t="shared" si="7"/>
        <v>1</v>
      </c>
      <c r="L9">
        <f t="shared" si="8"/>
        <v>0</v>
      </c>
      <c r="M9">
        <f t="shared" si="9"/>
        <v>0</v>
      </c>
      <c r="N9">
        <f t="shared" si="10"/>
        <v>0</v>
      </c>
      <c r="O9">
        <f t="shared" si="11"/>
        <v>0</v>
      </c>
      <c r="P9">
        <v>8</v>
      </c>
    </row>
    <row r="10" spans="1:16" x14ac:dyDescent="0.2">
      <c r="A10">
        <v>9</v>
      </c>
      <c r="B10">
        <v>110</v>
      </c>
      <c r="C10">
        <v>9</v>
      </c>
      <c r="D10">
        <f t="shared" si="0"/>
        <v>0</v>
      </c>
      <c r="E10">
        <f t="shared" si="1"/>
        <v>0</v>
      </c>
      <c r="F10">
        <f t="shared" si="2"/>
        <v>0</v>
      </c>
      <c r="G10">
        <f t="shared" si="3"/>
        <v>0</v>
      </c>
      <c r="H10">
        <f t="shared" si="4"/>
        <v>0</v>
      </c>
      <c r="I10">
        <f t="shared" si="5"/>
        <v>0</v>
      </c>
      <c r="J10">
        <f t="shared" si="6"/>
        <v>0</v>
      </c>
      <c r="K10">
        <f t="shared" si="7"/>
        <v>0</v>
      </c>
      <c r="L10">
        <f t="shared" si="8"/>
        <v>1</v>
      </c>
      <c r="M10">
        <f t="shared" si="9"/>
        <v>0</v>
      </c>
      <c r="N10">
        <f t="shared" si="10"/>
        <v>0</v>
      </c>
      <c r="O10">
        <f t="shared" si="11"/>
        <v>0</v>
      </c>
      <c r="P10">
        <v>9</v>
      </c>
    </row>
    <row r="11" spans="1:16" x14ac:dyDescent="0.2">
      <c r="A11">
        <v>10</v>
      </c>
      <c r="B11">
        <v>130</v>
      </c>
      <c r="C11">
        <v>10</v>
      </c>
      <c r="D11">
        <f t="shared" si="0"/>
        <v>0</v>
      </c>
      <c r="E11">
        <f t="shared" si="1"/>
        <v>0</v>
      </c>
      <c r="F11">
        <f t="shared" si="2"/>
        <v>0</v>
      </c>
      <c r="G11">
        <f t="shared" si="3"/>
        <v>0</v>
      </c>
      <c r="H11">
        <f t="shared" si="4"/>
        <v>0</v>
      </c>
      <c r="I11">
        <f t="shared" si="5"/>
        <v>0</v>
      </c>
      <c r="J11">
        <f t="shared" si="6"/>
        <v>0</v>
      </c>
      <c r="K11">
        <f t="shared" si="7"/>
        <v>0</v>
      </c>
      <c r="L11">
        <f t="shared" si="8"/>
        <v>0</v>
      </c>
      <c r="M11">
        <f t="shared" si="9"/>
        <v>1</v>
      </c>
      <c r="N11">
        <f t="shared" si="10"/>
        <v>0</v>
      </c>
      <c r="O11">
        <f t="shared" si="11"/>
        <v>0</v>
      </c>
      <c r="P11">
        <v>10</v>
      </c>
    </row>
    <row r="12" spans="1:16" x14ac:dyDescent="0.2">
      <c r="A12">
        <v>11</v>
      </c>
      <c r="B12">
        <v>152</v>
      </c>
      <c r="C12">
        <v>11</v>
      </c>
      <c r="D12">
        <f t="shared" si="0"/>
        <v>0</v>
      </c>
      <c r="E12">
        <f t="shared" si="1"/>
        <v>0</v>
      </c>
      <c r="F12">
        <f t="shared" si="2"/>
        <v>0</v>
      </c>
      <c r="G12">
        <f t="shared" si="3"/>
        <v>0</v>
      </c>
      <c r="H12">
        <f t="shared" si="4"/>
        <v>0</v>
      </c>
      <c r="I12">
        <f t="shared" si="5"/>
        <v>0</v>
      </c>
      <c r="J12">
        <f t="shared" si="6"/>
        <v>0</v>
      </c>
      <c r="K12">
        <f t="shared" si="7"/>
        <v>0</v>
      </c>
      <c r="L12">
        <f t="shared" si="8"/>
        <v>0</v>
      </c>
      <c r="M12">
        <f t="shared" si="9"/>
        <v>0</v>
      </c>
      <c r="N12">
        <f t="shared" si="10"/>
        <v>1</v>
      </c>
      <c r="O12">
        <f t="shared" si="11"/>
        <v>0</v>
      </c>
      <c r="P12">
        <v>11</v>
      </c>
    </row>
    <row r="13" spans="1:16" x14ac:dyDescent="0.2">
      <c r="A13">
        <v>12</v>
      </c>
      <c r="B13">
        <v>206</v>
      </c>
      <c r="C13">
        <v>12</v>
      </c>
      <c r="D13">
        <f t="shared" si="0"/>
        <v>0</v>
      </c>
      <c r="E13">
        <f t="shared" si="1"/>
        <v>0</v>
      </c>
      <c r="F13">
        <f t="shared" si="2"/>
        <v>0</v>
      </c>
      <c r="G13">
        <f t="shared" si="3"/>
        <v>0</v>
      </c>
      <c r="H13">
        <f t="shared" si="4"/>
        <v>0</v>
      </c>
      <c r="I13">
        <f t="shared" si="5"/>
        <v>0</v>
      </c>
      <c r="J13">
        <f t="shared" si="6"/>
        <v>0</v>
      </c>
      <c r="K13">
        <f t="shared" si="7"/>
        <v>0</v>
      </c>
      <c r="L13">
        <f t="shared" si="8"/>
        <v>0</v>
      </c>
      <c r="M13">
        <f t="shared" si="9"/>
        <v>0</v>
      </c>
      <c r="N13">
        <f t="shared" si="10"/>
        <v>0</v>
      </c>
      <c r="O13">
        <f t="shared" si="11"/>
        <v>1</v>
      </c>
      <c r="P13">
        <v>12</v>
      </c>
    </row>
    <row r="14" spans="1:16" x14ac:dyDescent="0.2">
      <c r="A14">
        <v>13</v>
      </c>
      <c r="B14">
        <v>263</v>
      </c>
      <c r="C14">
        <v>1</v>
      </c>
      <c r="D14">
        <f t="shared" si="0"/>
        <v>1</v>
      </c>
      <c r="E14">
        <f t="shared" si="1"/>
        <v>0</v>
      </c>
      <c r="F14">
        <f t="shared" si="2"/>
        <v>0</v>
      </c>
      <c r="G14">
        <f t="shared" si="3"/>
        <v>0</v>
      </c>
      <c r="H14">
        <f t="shared" si="4"/>
        <v>0</v>
      </c>
      <c r="I14">
        <f t="shared" si="5"/>
        <v>0</v>
      </c>
      <c r="J14">
        <f t="shared" si="6"/>
        <v>0</v>
      </c>
      <c r="K14">
        <f t="shared" si="7"/>
        <v>0</v>
      </c>
      <c r="L14">
        <f t="shared" si="8"/>
        <v>0</v>
      </c>
      <c r="M14">
        <f t="shared" si="9"/>
        <v>0</v>
      </c>
      <c r="N14">
        <f t="shared" si="10"/>
        <v>0</v>
      </c>
      <c r="O14">
        <f t="shared" si="11"/>
        <v>0</v>
      </c>
      <c r="P14">
        <v>13</v>
      </c>
    </row>
    <row r="15" spans="1:16" x14ac:dyDescent="0.2">
      <c r="A15">
        <v>14</v>
      </c>
      <c r="B15">
        <v>238</v>
      </c>
      <c r="C15">
        <v>2</v>
      </c>
      <c r="D15">
        <f t="shared" si="0"/>
        <v>0</v>
      </c>
      <c r="E15">
        <f t="shared" si="1"/>
        <v>1</v>
      </c>
      <c r="F15">
        <f t="shared" si="2"/>
        <v>0</v>
      </c>
      <c r="G15">
        <f t="shared" si="3"/>
        <v>0</v>
      </c>
      <c r="H15">
        <f t="shared" si="4"/>
        <v>0</v>
      </c>
      <c r="I15">
        <f t="shared" si="5"/>
        <v>0</v>
      </c>
      <c r="J15">
        <f t="shared" si="6"/>
        <v>0</v>
      </c>
      <c r="K15">
        <f t="shared" si="7"/>
        <v>0</v>
      </c>
      <c r="L15">
        <f t="shared" si="8"/>
        <v>0</v>
      </c>
      <c r="M15">
        <f t="shared" si="9"/>
        <v>0</v>
      </c>
      <c r="N15">
        <f t="shared" si="10"/>
        <v>0</v>
      </c>
      <c r="O15">
        <f t="shared" si="11"/>
        <v>0</v>
      </c>
      <c r="P15">
        <v>14</v>
      </c>
    </row>
    <row r="16" spans="1:16" x14ac:dyDescent="0.2">
      <c r="A16">
        <v>15</v>
      </c>
      <c r="B16">
        <v>247</v>
      </c>
      <c r="C16">
        <v>3</v>
      </c>
      <c r="D16">
        <f t="shared" si="0"/>
        <v>0</v>
      </c>
      <c r="E16">
        <f t="shared" si="1"/>
        <v>0</v>
      </c>
      <c r="F16">
        <f t="shared" si="2"/>
        <v>1</v>
      </c>
      <c r="G16">
        <f t="shared" si="3"/>
        <v>0</v>
      </c>
      <c r="H16">
        <f t="shared" si="4"/>
        <v>0</v>
      </c>
      <c r="I16">
        <f t="shared" si="5"/>
        <v>0</v>
      </c>
      <c r="J16">
        <f t="shared" si="6"/>
        <v>0</v>
      </c>
      <c r="K16">
        <f t="shared" si="7"/>
        <v>0</v>
      </c>
      <c r="L16">
        <f t="shared" si="8"/>
        <v>0</v>
      </c>
      <c r="M16">
        <f t="shared" si="9"/>
        <v>0</v>
      </c>
      <c r="N16">
        <f t="shared" si="10"/>
        <v>0</v>
      </c>
      <c r="O16">
        <f t="shared" si="11"/>
        <v>0</v>
      </c>
      <c r="P16">
        <v>15</v>
      </c>
    </row>
    <row r="17" spans="1:16" x14ac:dyDescent="0.2">
      <c r="A17">
        <v>16</v>
      </c>
      <c r="B17">
        <v>193</v>
      </c>
      <c r="C17">
        <v>4</v>
      </c>
      <c r="D17">
        <f t="shared" si="0"/>
        <v>0</v>
      </c>
      <c r="E17">
        <f t="shared" si="1"/>
        <v>0</v>
      </c>
      <c r="F17">
        <f t="shared" si="2"/>
        <v>0</v>
      </c>
      <c r="G17">
        <f t="shared" si="3"/>
        <v>1</v>
      </c>
      <c r="H17">
        <f t="shared" si="4"/>
        <v>0</v>
      </c>
      <c r="I17">
        <f t="shared" si="5"/>
        <v>0</v>
      </c>
      <c r="J17">
        <f t="shared" si="6"/>
        <v>0</v>
      </c>
      <c r="K17">
        <f t="shared" si="7"/>
        <v>0</v>
      </c>
      <c r="L17">
        <f t="shared" si="8"/>
        <v>0</v>
      </c>
      <c r="M17">
        <f t="shared" si="9"/>
        <v>0</v>
      </c>
      <c r="N17">
        <f t="shared" si="10"/>
        <v>0</v>
      </c>
      <c r="O17">
        <f t="shared" si="11"/>
        <v>0</v>
      </c>
      <c r="P17">
        <v>16</v>
      </c>
    </row>
    <row r="18" spans="1:16" x14ac:dyDescent="0.2">
      <c r="A18">
        <v>17</v>
      </c>
      <c r="B18">
        <v>193</v>
      </c>
      <c r="C18">
        <v>5</v>
      </c>
      <c r="D18">
        <f t="shared" si="0"/>
        <v>0</v>
      </c>
      <c r="E18">
        <f t="shared" si="1"/>
        <v>0</v>
      </c>
      <c r="F18">
        <f t="shared" si="2"/>
        <v>0</v>
      </c>
      <c r="G18">
        <f t="shared" si="3"/>
        <v>0</v>
      </c>
      <c r="H18">
        <f t="shared" si="4"/>
        <v>1</v>
      </c>
      <c r="I18">
        <f t="shared" si="5"/>
        <v>0</v>
      </c>
      <c r="J18">
        <f t="shared" si="6"/>
        <v>0</v>
      </c>
      <c r="K18">
        <f t="shared" si="7"/>
        <v>0</v>
      </c>
      <c r="L18">
        <f t="shared" si="8"/>
        <v>0</v>
      </c>
      <c r="M18">
        <f t="shared" si="9"/>
        <v>0</v>
      </c>
      <c r="N18">
        <f t="shared" si="10"/>
        <v>0</v>
      </c>
      <c r="O18">
        <f t="shared" si="11"/>
        <v>0</v>
      </c>
      <c r="P18">
        <v>17</v>
      </c>
    </row>
    <row r="19" spans="1:16" x14ac:dyDescent="0.2">
      <c r="A19">
        <v>18</v>
      </c>
      <c r="B19">
        <v>149</v>
      </c>
      <c r="C19">
        <v>6</v>
      </c>
      <c r="D19">
        <f t="shared" si="0"/>
        <v>0</v>
      </c>
      <c r="E19">
        <f t="shared" si="1"/>
        <v>0</v>
      </c>
      <c r="F19">
        <f t="shared" si="2"/>
        <v>0</v>
      </c>
      <c r="G19">
        <f t="shared" si="3"/>
        <v>0</v>
      </c>
      <c r="H19">
        <f t="shared" si="4"/>
        <v>0</v>
      </c>
      <c r="I19">
        <f t="shared" si="5"/>
        <v>1</v>
      </c>
      <c r="J19">
        <f t="shared" si="6"/>
        <v>0</v>
      </c>
      <c r="K19">
        <f t="shared" si="7"/>
        <v>0</v>
      </c>
      <c r="L19">
        <f t="shared" si="8"/>
        <v>0</v>
      </c>
      <c r="M19">
        <f t="shared" si="9"/>
        <v>0</v>
      </c>
      <c r="N19">
        <f t="shared" si="10"/>
        <v>0</v>
      </c>
      <c r="O19">
        <f t="shared" si="11"/>
        <v>0</v>
      </c>
      <c r="P19">
        <v>18</v>
      </c>
    </row>
    <row r="20" spans="1:16" x14ac:dyDescent="0.2">
      <c r="A20">
        <v>19</v>
      </c>
      <c r="B20">
        <v>157</v>
      </c>
      <c r="C20">
        <v>7</v>
      </c>
      <c r="D20">
        <f t="shared" si="0"/>
        <v>0</v>
      </c>
      <c r="E20">
        <f t="shared" si="1"/>
        <v>0</v>
      </c>
      <c r="F20">
        <f t="shared" si="2"/>
        <v>0</v>
      </c>
      <c r="G20">
        <f t="shared" si="3"/>
        <v>0</v>
      </c>
      <c r="H20">
        <f t="shared" si="4"/>
        <v>0</v>
      </c>
      <c r="I20">
        <f t="shared" si="5"/>
        <v>0</v>
      </c>
      <c r="J20">
        <f t="shared" si="6"/>
        <v>1</v>
      </c>
      <c r="K20">
        <f t="shared" si="7"/>
        <v>0</v>
      </c>
      <c r="L20">
        <f t="shared" si="8"/>
        <v>0</v>
      </c>
      <c r="M20">
        <f t="shared" si="9"/>
        <v>0</v>
      </c>
      <c r="N20">
        <f t="shared" si="10"/>
        <v>0</v>
      </c>
      <c r="O20">
        <f t="shared" si="11"/>
        <v>0</v>
      </c>
      <c r="P20">
        <v>19</v>
      </c>
    </row>
    <row r="21" spans="1:16" x14ac:dyDescent="0.2">
      <c r="A21">
        <v>20</v>
      </c>
      <c r="B21">
        <v>161</v>
      </c>
      <c r="C21">
        <v>8</v>
      </c>
      <c r="D21">
        <f t="shared" si="0"/>
        <v>0</v>
      </c>
      <c r="E21">
        <f t="shared" si="1"/>
        <v>0</v>
      </c>
      <c r="F21">
        <f t="shared" si="2"/>
        <v>0</v>
      </c>
      <c r="G21">
        <f t="shared" si="3"/>
        <v>0</v>
      </c>
      <c r="H21">
        <f t="shared" si="4"/>
        <v>0</v>
      </c>
      <c r="I21">
        <f t="shared" si="5"/>
        <v>0</v>
      </c>
      <c r="J21">
        <f t="shared" si="6"/>
        <v>0</v>
      </c>
      <c r="K21">
        <f t="shared" si="7"/>
        <v>1</v>
      </c>
      <c r="L21">
        <f t="shared" si="8"/>
        <v>0</v>
      </c>
      <c r="M21">
        <f t="shared" si="9"/>
        <v>0</v>
      </c>
      <c r="N21">
        <f t="shared" si="10"/>
        <v>0</v>
      </c>
      <c r="O21">
        <f t="shared" si="11"/>
        <v>0</v>
      </c>
      <c r="P21">
        <v>20</v>
      </c>
    </row>
    <row r="22" spans="1:16" x14ac:dyDescent="0.2">
      <c r="A22">
        <v>21</v>
      </c>
      <c r="B22">
        <v>122</v>
      </c>
      <c r="C22">
        <v>9</v>
      </c>
      <c r="D22">
        <f t="shared" si="0"/>
        <v>0</v>
      </c>
      <c r="E22">
        <f t="shared" si="1"/>
        <v>0</v>
      </c>
      <c r="F22">
        <f t="shared" si="2"/>
        <v>0</v>
      </c>
      <c r="G22">
        <f t="shared" si="3"/>
        <v>0</v>
      </c>
      <c r="H22">
        <f t="shared" si="4"/>
        <v>0</v>
      </c>
      <c r="I22">
        <f t="shared" si="5"/>
        <v>0</v>
      </c>
      <c r="J22">
        <f t="shared" si="6"/>
        <v>0</v>
      </c>
      <c r="K22">
        <f t="shared" si="7"/>
        <v>0</v>
      </c>
      <c r="L22">
        <f t="shared" si="8"/>
        <v>1</v>
      </c>
      <c r="M22">
        <f t="shared" si="9"/>
        <v>0</v>
      </c>
      <c r="N22">
        <f t="shared" si="10"/>
        <v>0</v>
      </c>
      <c r="O22">
        <f t="shared" si="11"/>
        <v>0</v>
      </c>
      <c r="P22">
        <v>21</v>
      </c>
    </row>
    <row r="23" spans="1:16" x14ac:dyDescent="0.2">
      <c r="A23">
        <v>22</v>
      </c>
      <c r="B23">
        <v>130</v>
      </c>
      <c r="C23">
        <v>10</v>
      </c>
      <c r="D23">
        <f t="shared" si="0"/>
        <v>0</v>
      </c>
      <c r="E23">
        <f t="shared" si="1"/>
        <v>0</v>
      </c>
      <c r="F23">
        <f t="shared" si="2"/>
        <v>0</v>
      </c>
      <c r="G23">
        <f t="shared" si="3"/>
        <v>0</v>
      </c>
      <c r="H23">
        <f t="shared" si="4"/>
        <v>0</v>
      </c>
      <c r="I23">
        <f t="shared" si="5"/>
        <v>0</v>
      </c>
      <c r="J23">
        <f t="shared" si="6"/>
        <v>0</v>
      </c>
      <c r="K23">
        <f t="shared" si="7"/>
        <v>0</v>
      </c>
      <c r="L23">
        <f t="shared" si="8"/>
        <v>0</v>
      </c>
      <c r="M23">
        <f t="shared" si="9"/>
        <v>1</v>
      </c>
      <c r="N23">
        <f t="shared" si="10"/>
        <v>0</v>
      </c>
      <c r="O23">
        <f t="shared" si="11"/>
        <v>0</v>
      </c>
      <c r="P23">
        <v>22</v>
      </c>
    </row>
    <row r="24" spans="1:16" x14ac:dyDescent="0.2">
      <c r="A24">
        <v>23</v>
      </c>
      <c r="B24">
        <v>167</v>
      </c>
      <c r="C24">
        <v>11</v>
      </c>
      <c r="D24">
        <f t="shared" si="0"/>
        <v>0</v>
      </c>
      <c r="E24">
        <f t="shared" si="1"/>
        <v>0</v>
      </c>
      <c r="F24">
        <f t="shared" si="2"/>
        <v>0</v>
      </c>
      <c r="G24">
        <f t="shared" si="3"/>
        <v>0</v>
      </c>
      <c r="H24">
        <f t="shared" si="4"/>
        <v>0</v>
      </c>
      <c r="I24">
        <f t="shared" si="5"/>
        <v>0</v>
      </c>
      <c r="J24">
        <f t="shared" si="6"/>
        <v>0</v>
      </c>
      <c r="K24">
        <f t="shared" si="7"/>
        <v>0</v>
      </c>
      <c r="L24">
        <f t="shared" si="8"/>
        <v>0</v>
      </c>
      <c r="M24">
        <f t="shared" si="9"/>
        <v>0</v>
      </c>
      <c r="N24">
        <f t="shared" si="10"/>
        <v>1</v>
      </c>
      <c r="O24">
        <f t="shared" si="11"/>
        <v>0</v>
      </c>
      <c r="P24">
        <v>23</v>
      </c>
    </row>
    <row r="25" spans="1:16" x14ac:dyDescent="0.2">
      <c r="A25">
        <v>24</v>
      </c>
      <c r="B25">
        <v>230</v>
      </c>
      <c r="C25">
        <v>12</v>
      </c>
      <c r="D25">
        <f t="shared" si="0"/>
        <v>0</v>
      </c>
      <c r="E25">
        <f t="shared" si="1"/>
        <v>0</v>
      </c>
      <c r="F25">
        <f t="shared" si="2"/>
        <v>0</v>
      </c>
      <c r="G25">
        <f t="shared" si="3"/>
        <v>0</v>
      </c>
      <c r="H25">
        <f t="shared" si="4"/>
        <v>0</v>
      </c>
      <c r="I25">
        <f t="shared" si="5"/>
        <v>0</v>
      </c>
      <c r="J25">
        <f t="shared" si="6"/>
        <v>0</v>
      </c>
      <c r="K25">
        <f t="shared" si="7"/>
        <v>0</v>
      </c>
      <c r="L25">
        <f t="shared" si="8"/>
        <v>0</v>
      </c>
      <c r="M25">
        <f t="shared" si="9"/>
        <v>0</v>
      </c>
      <c r="N25">
        <f t="shared" si="10"/>
        <v>0</v>
      </c>
      <c r="O25">
        <f t="shared" si="11"/>
        <v>1</v>
      </c>
      <c r="P25">
        <v>24</v>
      </c>
    </row>
    <row r="26" spans="1:16" x14ac:dyDescent="0.2">
      <c r="A26">
        <v>25</v>
      </c>
      <c r="B26">
        <v>282</v>
      </c>
      <c r="C26">
        <v>1</v>
      </c>
      <c r="D26">
        <f t="shared" si="0"/>
        <v>1</v>
      </c>
      <c r="E26">
        <f t="shared" si="1"/>
        <v>0</v>
      </c>
      <c r="F26">
        <f t="shared" si="2"/>
        <v>0</v>
      </c>
      <c r="G26">
        <f t="shared" si="3"/>
        <v>0</v>
      </c>
      <c r="H26">
        <f t="shared" si="4"/>
        <v>0</v>
      </c>
      <c r="I26">
        <f t="shared" si="5"/>
        <v>0</v>
      </c>
      <c r="J26">
        <f t="shared" si="6"/>
        <v>0</v>
      </c>
      <c r="K26">
        <f t="shared" si="7"/>
        <v>0</v>
      </c>
      <c r="L26">
        <f t="shared" si="8"/>
        <v>0</v>
      </c>
      <c r="M26">
        <f t="shared" si="9"/>
        <v>0</v>
      </c>
      <c r="N26">
        <f t="shared" si="10"/>
        <v>0</v>
      </c>
      <c r="O26">
        <f t="shared" si="11"/>
        <v>0</v>
      </c>
      <c r="P26">
        <v>25</v>
      </c>
    </row>
    <row r="27" spans="1:16" x14ac:dyDescent="0.2">
      <c r="A27">
        <v>26</v>
      </c>
      <c r="B27">
        <v>255</v>
      </c>
      <c r="C27">
        <v>2</v>
      </c>
      <c r="D27">
        <f t="shared" si="0"/>
        <v>0</v>
      </c>
      <c r="E27">
        <f t="shared" si="1"/>
        <v>1</v>
      </c>
      <c r="F27">
        <f t="shared" si="2"/>
        <v>0</v>
      </c>
      <c r="G27">
        <f t="shared" si="3"/>
        <v>0</v>
      </c>
      <c r="H27">
        <f t="shared" si="4"/>
        <v>0</v>
      </c>
      <c r="I27">
        <f t="shared" si="5"/>
        <v>0</v>
      </c>
      <c r="J27">
        <f t="shared" si="6"/>
        <v>0</v>
      </c>
      <c r="K27">
        <f t="shared" si="7"/>
        <v>0</v>
      </c>
      <c r="L27">
        <f t="shared" si="8"/>
        <v>0</v>
      </c>
      <c r="M27">
        <f t="shared" si="9"/>
        <v>0</v>
      </c>
      <c r="N27">
        <f t="shared" si="10"/>
        <v>0</v>
      </c>
      <c r="O27">
        <f t="shared" si="11"/>
        <v>0</v>
      </c>
      <c r="P27">
        <v>26</v>
      </c>
    </row>
    <row r="28" spans="1:16" x14ac:dyDescent="0.2">
      <c r="A28">
        <v>27</v>
      </c>
      <c r="B28">
        <v>265</v>
      </c>
      <c r="C28">
        <v>3</v>
      </c>
      <c r="D28">
        <f t="shared" si="0"/>
        <v>0</v>
      </c>
      <c r="E28">
        <f t="shared" si="1"/>
        <v>0</v>
      </c>
      <c r="F28">
        <f t="shared" si="2"/>
        <v>1</v>
      </c>
      <c r="G28">
        <f t="shared" si="3"/>
        <v>0</v>
      </c>
      <c r="H28">
        <f t="shared" si="4"/>
        <v>0</v>
      </c>
      <c r="I28">
        <f t="shared" si="5"/>
        <v>0</v>
      </c>
      <c r="J28">
        <f t="shared" si="6"/>
        <v>0</v>
      </c>
      <c r="K28">
        <f t="shared" si="7"/>
        <v>0</v>
      </c>
      <c r="L28">
        <f t="shared" si="8"/>
        <v>0</v>
      </c>
      <c r="M28">
        <f t="shared" si="9"/>
        <v>0</v>
      </c>
      <c r="N28">
        <f t="shared" si="10"/>
        <v>0</v>
      </c>
      <c r="O28">
        <f t="shared" si="11"/>
        <v>0</v>
      </c>
      <c r="P28">
        <v>27</v>
      </c>
    </row>
    <row r="29" spans="1:16" x14ac:dyDescent="0.2">
      <c r="A29">
        <v>28</v>
      </c>
      <c r="B29">
        <v>205</v>
      </c>
      <c r="C29">
        <v>4</v>
      </c>
      <c r="D29">
        <f t="shared" si="0"/>
        <v>0</v>
      </c>
      <c r="E29">
        <f t="shared" si="1"/>
        <v>0</v>
      </c>
      <c r="F29">
        <f t="shared" si="2"/>
        <v>0</v>
      </c>
      <c r="G29">
        <f t="shared" si="3"/>
        <v>1</v>
      </c>
      <c r="H29">
        <f t="shared" si="4"/>
        <v>0</v>
      </c>
      <c r="I29">
        <f t="shared" si="5"/>
        <v>0</v>
      </c>
      <c r="J29">
        <f t="shared" si="6"/>
        <v>0</v>
      </c>
      <c r="K29">
        <f t="shared" si="7"/>
        <v>0</v>
      </c>
      <c r="L29">
        <f t="shared" si="8"/>
        <v>0</v>
      </c>
      <c r="M29">
        <f t="shared" si="9"/>
        <v>0</v>
      </c>
      <c r="N29">
        <f t="shared" si="10"/>
        <v>0</v>
      </c>
      <c r="O29">
        <f t="shared" si="11"/>
        <v>0</v>
      </c>
      <c r="P29">
        <v>28</v>
      </c>
    </row>
    <row r="30" spans="1:16" x14ac:dyDescent="0.2">
      <c r="A30">
        <v>29</v>
      </c>
      <c r="B30">
        <v>210</v>
      </c>
      <c r="C30">
        <v>5</v>
      </c>
      <c r="D30">
        <f t="shared" si="0"/>
        <v>0</v>
      </c>
      <c r="E30">
        <f t="shared" si="1"/>
        <v>0</v>
      </c>
      <c r="F30">
        <f t="shared" si="2"/>
        <v>0</v>
      </c>
      <c r="G30">
        <f t="shared" si="3"/>
        <v>0</v>
      </c>
      <c r="H30">
        <f t="shared" si="4"/>
        <v>1</v>
      </c>
      <c r="I30">
        <f t="shared" si="5"/>
        <v>0</v>
      </c>
      <c r="J30">
        <f t="shared" si="6"/>
        <v>0</v>
      </c>
      <c r="K30">
        <f t="shared" si="7"/>
        <v>0</v>
      </c>
      <c r="L30">
        <f t="shared" si="8"/>
        <v>0</v>
      </c>
      <c r="M30">
        <f t="shared" si="9"/>
        <v>0</v>
      </c>
      <c r="N30">
        <f t="shared" si="10"/>
        <v>0</v>
      </c>
      <c r="O30">
        <f t="shared" si="11"/>
        <v>0</v>
      </c>
      <c r="P30">
        <v>29</v>
      </c>
    </row>
    <row r="31" spans="1:16" x14ac:dyDescent="0.2">
      <c r="A31">
        <v>30</v>
      </c>
      <c r="B31">
        <v>160</v>
      </c>
      <c r="C31">
        <v>6</v>
      </c>
      <c r="D31">
        <f t="shared" si="0"/>
        <v>0</v>
      </c>
      <c r="E31">
        <f t="shared" si="1"/>
        <v>0</v>
      </c>
      <c r="F31">
        <f t="shared" si="2"/>
        <v>0</v>
      </c>
      <c r="G31">
        <f t="shared" si="3"/>
        <v>0</v>
      </c>
      <c r="H31">
        <f t="shared" si="4"/>
        <v>0</v>
      </c>
      <c r="I31">
        <f t="shared" si="5"/>
        <v>1</v>
      </c>
      <c r="J31">
        <f t="shared" si="6"/>
        <v>0</v>
      </c>
      <c r="K31">
        <f t="shared" si="7"/>
        <v>0</v>
      </c>
      <c r="L31">
        <f t="shared" si="8"/>
        <v>0</v>
      </c>
      <c r="M31">
        <f t="shared" si="9"/>
        <v>0</v>
      </c>
      <c r="N31">
        <f t="shared" si="10"/>
        <v>0</v>
      </c>
      <c r="O31">
        <f t="shared" si="11"/>
        <v>0</v>
      </c>
      <c r="P31">
        <v>30</v>
      </c>
    </row>
    <row r="32" spans="1:16" x14ac:dyDescent="0.2">
      <c r="A32">
        <v>31</v>
      </c>
      <c r="B32">
        <v>166</v>
      </c>
      <c r="C32">
        <v>7</v>
      </c>
      <c r="D32">
        <f t="shared" si="0"/>
        <v>0</v>
      </c>
      <c r="E32">
        <f t="shared" si="1"/>
        <v>0</v>
      </c>
      <c r="F32">
        <f t="shared" si="2"/>
        <v>0</v>
      </c>
      <c r="G32">
        <f t="shared" si="3"/>
        <v>0</v>
      </c>
      <c r="H32">
        <f t="shared" si="4"/>
        <v>0</v>
      </c>
      <c r="I32">
        <f t="shared" si="5"/>
        <v>0</v>
      </c>
      <c r="J32">
        <f t="shared" si="6"/>
        <v>1</v>
      </c>
      <c r="K32">
        <f t="shared" si="7"/>
        <v>0</v>
      </c>
      <c r="L32">
        <f t="shared" si="8"/>
        <v>0</v>
      </c>
      <c r="M32">
        <f t="shared" si="9"/>
        <v>0</v>
      </c>
      <c r="N32">
        <f t="shared" si="10"/>
        <v>0</v>
      </c>
      <c r="O32">
        <f t="shared" si="11"/>
        <v>0</v>
      </c>
      <c r="P32">
        <v>31</v>
      </c>
    </row>
    <row r="33" spans="1:16" x14ac:dyDescent="0.2">
      <c r="A33">
        <v>32</v>
      </c>
      <c r="B33">
        <v>174</v>
      </c>
      <c r="C33">
        <v>8</v>
      </c>
      <c r="D33">
        <f t="shared" si="0"/>
        <v>0</v>
      </c>
      <c r="E33">
        <f t="shared" si="1"/>
        <v>0</v>
      </c>
      <c r="F33">
        <f t="shared" si="2"/>
        <v>0</v>
      </c>
      <c r="G33">
        <f t="shared" si="3"/>
        <v>0</v>
      </c>
      <c r="H33">
        <f t="shared" si="4"/>
        <v>0</v>
      </c>
      <c r="I33">
        <f t="shared" si="5"/>
        <v>0</v>
      </c>
      <c r="J33">
        <f t="shared" si="6"/>
        <v>0</v>
      </c>
      <c r="K33">
        <f t="shared" si="7"/>
        <v>1</v>
      </c>
      <c r="L33">
        <f t="shared" si="8"/>
        <v>0</v>
      </c>
      <c r="M33">
        <f t="shared" si="9"/>
        <v>0</v>
      </c>
      <c r="N33">
        <f t="shared" si="10"/>
        <v>0</v>
      </c>
      <c r="O33">
        <f t="shared" si="11"/>
        <v>0</v>
      </c>
      <c r="P33">
        <v>32</v>
      </c>
    </row>
    <row r="34" spans="1:16" x14ac:dyDescent="0.2">
      <c r="A34">
        <v>33</v>
      </c>
      <c r="B34">
        <v>126</v>
      </c>
      <c r="C34">
        <v>9</v>
      </c>
      <c r="D34">
        <f t="shared" si="0"/>
        <v>0</v>
      </c>
      <c r="E34">
        <f t="shared" si="1"/>
        <v>0</v>
      </c>
      <c r="F34">
        <f t="shared" si="2"/>
        <v>0</v>
      </c>
      <c r="G34">
        <f t="shared" si="3"/>
        <v>0</v>
      </c>
      <c r="H34">
        <f t="shared" si="4"/>
        <v>0</v>
      </c>
      <c r="I34">
        <f t="shared" si="5"/>
        <v>0</v>
      </c>
      <c r="J34">
        <f t="shared" si="6"/>
        <v>0</v>
      </c>
      <c r="K34">
        <f t="shared" si="7"/>
        <v>0</v>
      </c>
      <c r="L34">
        <f t="shared" si="8"/>
        <v>1</v>
      </c>
      <c r="M34">
        <f t="shared" si="9"/>
        <v>0</v>
      </c>
      <c r="N34">
        <f t="shared" si="10"/>
        <v>0</v>
      </c>
      <c r="O34">
        <f t="shared" si="11"/>
        <v>0</v>
      </c>
      <c r="P34">
        <v>33</v>
      </c>
    </row>
    <row r="35" spans="1:16" x14ac:dyDescent="0.2">
      <c r="A35">
        <v>34</v>
      </c>
      <c r="B35">
        <v>148</v>
      </c>
      <c r="C35">
        <v>10</v>
      </c>
      <c r="D35">
        <f t="shared" si="0"/>
        <v>0</v>
      </c>
      <c r="E35">
        <f t="shared" si="1"/>
        <v>0</v>
      </c>
      <c r="F35">
        <f t="shared" si="2"/>
        <v>0</v>
      </c>
      <c r="G35">
        <f t="shared" si="3"/>
        <v>0</v>
      </c>
      <c r="H35">
        <f t="shared" si="4"/>
        <v>0</v>
      </c>
      <c r="I35">
        <f t="shared" si="5"/>
        <v>0</v>
      </c>
      <c r="J35">
        <f t="shared" si="6"/>
        <v>0</v>
      </c>
      <c r="K35">
        <f t="shared" si="7"/>
        <v>0</v>
      </c>
      <c r="L35">
        <f t="shared" si="8"/>
        <v>0</v>
      </c>
      <c r="M35">
        <f t="shared" si="9"/>
        <v>1</v>
      </c>
      <c r="N35">
        <f t="shared" si="10"/>
        <v>0</v>
      </c>
      <c r="O35">
        <f t="shared" si="11"/>
        <v>0</v>
      </c>
      <c r="P35">
        <v>34</v>
      </c>
    </row>
    <row r="36" spans="1:16" x14ac:dyDescent="0.2">
      <c r="A36">
        <v>35</v>
      </c>
      <c r="B36">
        <v>173</v>
      </c>
      <c r="C36">
        <v>11</v>
      </c>
      <c r="D36">
        <f t="shared" si="0"/>
        <v>0</v>
      </c>
      <c r="E36">
        <f t="shared" si="1"/>
        <v>0</v>
      </c>
      <c r="F36">
        <f t="shared" si="2"/>
        <v>0</v>
      </c>
      <c r="G36">
        <f t="shared" si="3"/>
        <v>0</v>
      </c>
      <c r="H36">
        <f t="shared" si="4"/>
        <v>0</v>
      </c>
      <c r="I36">
        <f t="shared" si="5"/>
        <v>0</v>
      </c>
      <c r="J36">
        <f t="shared" si="6"/>
        <v>0</v>
      </c>
      <c r="K36">
        <f t="shared" si="7"/>
        <v>0</v>
      </c>
      <c r="L36">
        <f t="shared" si="8"/>
        <v>0</v>
      </c>
      <c r="M36">
        <f t="shared" si="9"/>
        <v>0</v>
      </c>
      <c r="N36">
        <f t="shared" si="10"/>
        <v>1</v>
      </c>
      <c r="O36">
        <f t="shared" si="11"/>
        <v>0</v>
      </c>
      <c r="P36">
        <v>35</v>
      </c>
    </row>
    <row r="37" spans="1:16" x14ac:dyDescent="0.2">
      <c r="A37">
        <v>36</v>
      </c>
      <c r="B37">
        <v>235</v>
      </c>
      <c r="C37">
        <v>12</v>
      </c>
      <c r="D37">
        <f t="shared" si="0"/>
        <v>0</v>
      </c>
      <c r="E37">
        <f t="shared" si="1"/>
        <v>0</v>
      </c>
      <c r="F37">
        <f t="shared" si="2"/>
        <v>0</v>
      </c>
      <c r="G37">
        <f t="shared" si="3"/>
        <v>0</v>
      </c>
      <c r="H37">
        <f t="shared" si="4"/>
        <v>0</v>
      </c>
      <c r="I37">
        <f t="shared" si="5"/>
        <v>0</v>
      </c>
      <c r="J37">
        <f t="shared" si="6"/>
        <v>0</v>
      </c>
      <c r="K37">
        <f t="shared" si="7"/>
        <v>0</v>
      </c>
      <c r="L37">
        <f t="shared" si="8"/>
        <v>0</v>
      </c>
      <c r="M37">
        <f t="shared" si="9"/>
        <v>0</v>
      </c>
      <c r="N37">
        <f t="shared" si="10"/>
        <v>0</v>
      </c>
      <c r="O37">
        <f t="shared" si="11"/>
        <v>1</v>
      </c>
      <c r="P37">
        <v>36</v>
      </c>
    </row>
    <row r="39" spans="1:16" x14ac:dyDescent="0.2">
      <c r="A39" s="3" t="s">
        <v>2</v>
      </c>
    </row>
  </sheetData>
  <phoneticPr fontId="2" type="noConversion"/>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9491-28CE-0142-9F9C-5138EAF613B3}">
  <dimension ref="A1:I29"/>
  <sheetViews>
    <sheetView tabSelected="1" workbookViewId="0">
      <selection activeCell="C35" sqref="C35"/>
    </sheetView>
  </sheetViews>
  <sheetFormatPr baseColWidth="10" defaultRowHeight="16" x14ac:dyDescent="0.2"/>
  <sheetData>
    <row r="1" spans="1:9" x14ac:dyDescent="0.2">
      <c r="A1" t="s">
        <v>16</v>
      </c>
    </row>
    <row r="2" spans="1:9" ht="17" thickBot="1" x14ac:dyDescent="0.25"/>
    <row r="3" spans="1:9" x14ac:dyDescent="0.2">
      <c r="A3" s="7" t="s">
        <v>17</v>
      </c>
      <c r="B3" s="7"/>
    </row>
    <row r="4" spans="1:9" x14ac:dyDescent="0.2">
      <c r="A4" s="4" t="s">
        <v>18</v>
      </c>
      <c r="B4" s="4">
        <v>0.97376866998816569</v>
      </c>
    </row>
    <row r="5" spans="1:9" x14ac:dyDescent="0.2">
      <c r="A5" s="4" t="s">
        <v>19</v>
      </c>
      <c r="B5" s="4">
        <v>0.94822542265052123</v>
      </c>
    </row>
    <row r="6" spans="1:9" x14ac:dyDescent="0.2">
      <c r="A6" s="4" t="s">
        <v>20</v>
      </c>
      <c r="B6" s="4">
        <v>0.88282874136534339</v>
      </c>
    </row>
    <row r="7" spans="1:9" x14ac:dyDescent="0.2">
      <c r="A7" s="4" t="s">
        <v>21</v>
      </c>
      <c r="B7" s="4">
        <v>12.959338117529187</v>
      </c>
    </row>
    <row r="8" spans="1:9" ht="17" thickBot="1" x14ac:dyDescent="0.25">
      <c r="A8" s="5" t="s">
        <v>22</v>
      </c>
      <c r="B8" s="5">
        <v>36</v>
      </c>
    </row>
    <row r="10" spans="1:9" ht="17" thickBot="1" x14ac:dyDescent="0.25">
      <c r="A10" t="s">
        <v>23</v>
      </c>
    </row>
    <row r="11" spans="1:9" x14ac:dyDescent="0.2">
      <c r="A11" s="6"/>
      <c r="B11" s="6" t="s">
        <v>28</v>
      </c>
      <c r="C11" s="6" t="s">
        <v>29</v>
      </c>
      <c r="D11" s="6" t="s">
        <v>30</v>
      </c>
      <c r="E11" s="6" t="s">
        <v>31</v>
      </c>
      <c r="F11" s="6" t="s">
        <v>32</v>
      </c>
    </row>
    <row r="12" spans="1:9" x14ac:dyDescent="0.2">
      <c r="A12" s="4" t="s">
        <v>24</v>
      </c>
      <c r="B12" s="4">
        <v>12</v>
      </c>
      <c r="C12" s="4">
        <v>73819.638888888876</v>
      </c>
      <c r="D12" s="4">
        <v>6151.636574074073</v>
      </c>
      <c r="E12" s="4">
        <v>39.958905963371599</v>
      </c>
      <c r="F12" s="4">
        <v>1.6619514687943913E-12</v>
      </c>
    </row>
    <row r="13" spans="1:9" x14ac:dyDescent="0.2">
      <c r="A13" s="4" t="s">
        <v>25</v>
      </c>
      <c r="B13" s="4">
        <v>24</v>
      </c>
      <c r="C13" s="4">
        <v>4030.6666666666788</v>
      </c>
      <c r="D13" s="4">
        <v>167.94444444444494</v>
      </c>
      <c r="E13" s="4"/>
      <c r="F13" s="4"/>
    </row>
    <row r="14" spans="1:9" ht="17" thickBot="1" x14ac:dyDescent="0.25">
      <c r="A14" s="5" t="s">
        <v>26</v>
      </c>
      <c r="B14" s="5">
        <v>36</v>
      </c>
      <c r="C14" s="5">
        <v>77850.305555555562</v>
      </c>
      <c r="D14" s="5"/>
      <c r="E14" s="5"/>
      <c r="F14" s="5"/>
    </row>
    <row r="15" spans="1:9" ht="17" thickBot="1" x14ac:dyDescent="0.25"/>
    <row r="16" spans="1:9" x14ac:dyDescent="0.2">
      <c r="A16" s="6"/>
      <c r="B16" s="6" t="s">
        <v>33</v>
      </c>
      <c r="C16" s="6" t="s">
        <v>21</v>
      </c>
      <c r="D16" s="6" t="s">
        <v>34</v>
      </c>
      <c r="E16" s="6" t="s">
        <v>35</v>
      </c>
      <c r="F16" s="6" t="s">
        <v>36</v>
      </c>
      <c r="G16" s="6" t="s">
        <v>37</v>
      </c>
      <c r="H16" s="6" t="s">
        <v>38</v>
      </c>
      <c r="I16" s="6" t="s">
        <v>39</v>
      </c>
    </row>
    <row r="17" spans="1:9" x14ac:dyDescent="0.2">
      <c r="A17" s="4" t="s">
        <v>27</v>
      </c>
      <c r="B17" s="4">
        <v>149.66666666666671</v>
      </c>
      <c r="C17" s="4">
        <v>7.4820773506748477</v>
      </c>
      <c r="D17" s="4">
        <v>20.00335731000796</v>
      </c>
      <c r="E17" s="4">
        <v>1.7842598898661849E-16</v>
      </c>
      <c r="F17" s="4">
        <v>134.22441798461927</v>
      </c>
      <c r="G17" s="4">
        <v>165.10891534871416</v>
      </c>
      <c r="H17" s="4">
        <v>134.22441798461927</v>
      </c>
      <c r="I17" s="4">
        <v>165.10891534871416</v>
      </c>
    </row>
    <row r="18" spans="1:9" x14ac:dyDescent="0.2">
      <c r="A18" s="4" t="s">
        <v>3</v>
      </c>
      <c r="B18" s="4">
        <v>112.66666666666649</v>
      </c>
      <c r="C18" s="4">
        <v>10.581255264048922</v>
      </c>
      <c r="D18" s="4">
        <v>10.647760010994626</v>
      </c>
      <c r="E18" s="4">
        <v>1.4229351204605348E-10</v>
      </c>
      <c r="F18" s="4">
        <v>90.828029146976945</v>
      </c>
      <c r="G18" s="4">
        <v>134.50530418635603</v>
      </c>
      <c r="H18" s="4">
        <v>90.828029146976945</v>
      </c>
      <c r="I18" s="4">
        <v>134.50530418635603</v>
      </c>
    </row>
    <row r="19" spans="1:9" x14ac:dyDescent="0.2">
      <c r="A19" s="4" t="s">
        <v>4</v>
      </c>
      <c r="B19" s="4">
        <v>93.000000000000014</v>
      </c>
      <c r="C19" s="4">
        <v>10.581255264048943</v>
      </c>
      <c r="D19" s="4">
        <v>8.7891273463535491</v>
      </c>
      <c r="E19" s="4">
        <v>5.7393778515961077E-9</v>
      </c>
      <c r="F19" s="4">
        <v>71.16136248031043</v>
      </c>
      <c r="G19" s="4">
        <v>114.8386375196896</v>
      </c>
      <c r="H19" s="4">
        <v>71.16136248031043</v>
      </c>
      <c r="I19" s="4">
        <v>114.8386375196896</v>
      </c>
    </row>
    <row r="20" spans="1:9" x14ac:dyDescent="0.2">
      <c r="A20" s="4" t="s">
        <v>5</v>
      </c>
      <c r="B20" s="4">
        <v>98.333333333333258</v>
      </c>
      <c r="C20" s="4">
        <v>10.581255264048931</v>
      </c>
      <c r="D20" s="4">
        <v>9.2931633232053681</v>
      </c>
      <c r="E20" s="4">
        <v>2.0169024023014331E-9</v>
      </c>
      <c r="F20" s="4">
        <v>76.494695813643702</v>
      </c>
      <c r="G20" s="4">
        <v>120.17197085302281</v>
      </c>
      <c r="H20" s="4">
        <v>76.494695813643702</v>
      </c>
      <c r="I20" s="4">
        <v>120.17197085302281</v>
      </c>
    </row>
    <row r="21" spans="1:9" x14ac:dyDescent="0.2">
      <c r="A21" s="4" t="s">
        <v>6</v>
      </c>
      <c r="B21" s="4">
        <v>42.333333333333265</v>
      </c>
      <c r="C21" s="4">
        <v>10.581255264048929</v>
      </c>
      <c r="D21" s="4">
        <v>4.0007855662612917</v>
      </c>
      <c r="E21" s="4">
        <v>5.2586319733225839E-4</v>
      </c>
      <c r="F21" s="4">
        <v>20.494695813643709</v>
      </c>
      <c r="G21" s="4">
        <v>64.171970853022827</v>
      </c>
      <c r="H21" s="4">
        <v>20.494695813643709</v>
      </c>
      <c r="I21" s="4">
        <v>64.171970853022827</v>
      </c>
    </row>
    <row r="22" spans="1:9" x14ac:dyDescent="0.2">
      <c r="A22" s="4" t="s">
        <v>7</v>
      </c>
      <c r="B22" s="4">
        <v>45.999999999999957</v>
      </c>
      <c r="C22" s="4">
        <v>10.581255264048933</v>
      </c>
      <c r="D22" s="4">
        <v>4.3473103003469165</v>
      </c>
      <c r="E22" s="4">
        <v>2.1839531118482541E-4</v>
      </c>
      <c r="F22" s="4">
        <v>24.161362480310395</v>
      </c>
      <c r="G22" s="4">
        <v>67.838637519689527</v>
      </c>
      <c r="H22" s="4">
        <v>24.161362480310395</v>
      </c>
      <c r="I22" s="4">
        <v>67.838637519689527</v>
      </c>
    </row>
    <row r="23" spans="1:9" x14ac:dyDescent="0.2">
      <c r="A23" s="4" t="s">
        <v>8</v>
      </c>
      <c r="B23" s="4">
        <v>0</v>
      </c>
      <c r="C23" s="4">
        <v>0</v>
      </c>
      <c r="D23" s="4">
        <v>65535</v>
      </c>
      <c r="E23" s="4" t="e">
        <v>#NUM!</v>
      </c>
      <c r="F23" s="4">
        <v>0</v>
      </c>
      <c r="G23" s="4">
        <v>0</v>
      </c>
      <c r="H23" s="4">
        <v>0</v>
      </c>
      <c r="I23" s="4">
        <v>0</v>
      </c>
    </row>
    <row r="24" spans="1:9" x14ac:dyDescent="0.2">
      <c r="A24" s="4" t="s">
        <v>9</v>
      </c>
      <c r="B24" s="4">
        <v>6.3333333333332922</v>
      </c>
      <c r="C24" s="4">
        <v>10.581255264048933</v>
      </c>
      <c r="D24" s="4">
        <v>0.59854272251152862</v>
      </c>
      <c r="E24" s="4" t="e">
        <v>#NUM!</v>
      </c>
      <c r="F24" s="4">
        <v>-15.505304186356272</v>
      </c>
      <c r="G24" s="4">
        <v>28.171970853022856</v>
      </c>
      <c r="H24" s="4">
        <v>-15.505304186356272</v>
      </c>
      <c r="I24" s="4">
        <v>28.171970853022856</v>
      </c>
    </row>
    <row r="25" spans="1:9" x14ac:dyDescent="0.2">
      <c r="A25" s="4" t="s">
        <v>10</v>
      </c>
      <c r="B25" s="4">
        <v>12.666666666666622</v>
      </c>
      <c r="C25" s="4">
        <v>10.581255264048933</v>
      </c>
      <c r="D25" s="4">
        <v>1.1970854450230608</v>
      </c>
      <c r="E25" s="4">
        <v>0.24296414104145658</v>
      </c>
      <c r="F25" s="4">
        <v>-9.1719708530229429</v>
      </c>
      <c r="G25" s="4">
        <v>34.505304186356184</v>
      </c>
      <c r="H25" s="4">
        <v>-9.1719708530229429</v>
      </c>
      <c r="I25" s="4">
        <v>34.505304186356184</v>
      </c>
    </row>
    <row r="26" spans="1:9" x14ac:dyDescent="0.2">
      <c r="A26" s="4" t="s">
        <v>11</v>
      </c>
      <c r="B26" s="4">
        <v>-30.333333333333371</v>
      </c>
      <c r="C26" s="4">
        <v>10.581255264048936</v>
      </c>
      <c r="D26" s="4">
        <v>-2.8667046183447114</v>
      </c>
      <c r="E26" s="4">
        <v>8.4987303377645415E-3</v>
      </c>
      <c r="F26" s="4">
        <v>-52.171970853022941</v>
      </c>
      <c r="G26" s="4">
        <v>-8.4946958136437996</v>
      </c>
      <c r="H26" s="4">
        <v>-52.171970853022941</v>
      </c>
      <c r="I26" s="4">
        <v>-8.4946958136437996</v>
      </c>
    </row>
    <row r="27" spans="1:9" x14ac:dyDescent="0.2">
      <c r="A27" s="4" t="s">
        <v>12</v>
      </c>
      <c r="B27" s="4">
        <v>-13.666666666666694</v>
      </c>
      <c r="C27" s="4">
        <v>10.581255264048933</v>
      </c>
      <c r="D27" s="4">
        <v>-1.2915921906827834</v>
      </c>
      <c r="E27" s="4">
        <v>0.20879929635924291</v>
      </c>
      <c r="F27" s="4">
        <v>-35.505304186356256</v>
      </c>
      <c r="G27" s="4">
        <v>8.1719708530228701</v>
      </c>
      <c r="H27" s="4">
        <v>-35.505304186356256</v>
      </c>
      <c r="I27" s="4">
        <v>8.1719708530228701</v>
      </c>
    </row>
    <row r="28" spans="1:9" x14ac:dyDescent="0.2">
      <c r="A28" s="4" t="s">
        <v>14</v>
      </c>
      <c r="B28" s="4">
        <v>14.333333333333286</v>
      </c>
      <c r="C28" s="4">
        <v>10.581255264048933</v>
      </c>
      <c r="D28" s="4">
        <v>1.3545966877892535</v>
      </c>
      <c r="E28" s="4">
        <v>0.18816211769045246</v>
      </c>
      <c r="F28" s="4">
        <v>-7.5053041863562786</v>
      </c>
      <c r="G28" s="4">
        <v>36.171970853022849</v>
      </c>
      <c r="H28" s="4">
        <v>-7.5053041863562786</v>
      </c>
      <c r="I28" s="4">
        <v>36.171970853022849</v>
      </c>
    </row>
    <row r="29" spans="1:9" ht="17" thickBot="1" x14ac:dyDescent="0.25">
      <c r="A29" s="5" t="s">
        <v>15</v>
      </c>
      <c r="B29" s="5">
        <v>73.999999999999957</v>
      </c>
      <c r="C29" s="5">
        <v>10.581255264048934</v>
      </c>
      <c r="D29" s="5">
        <v>6.9934991788189542</v>
      </c>
      <c r="E29" s="5">
        <v>3.1282294214944991E-7</v>
      </c>
      <c r="F29" s="5">
        <v>52.161362480310387</v>
      </c>
      <c r="G29" s="5">
        <v>95.838637519689527</v>
      </c>
      <c r="H29" s="5">
        <v>52.161362480310387</v>
      </c>
      <c r="I29" s="5">
        <v>95.838637519689527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 1</vt:lpstr>
      <vt:lpstr>Data</vt:lpstr>
      <vt:lpstr>Sheet 2</vt:lpstr>
    </vt:vector>
  </TitlesOfParts>
  <Company> Rochester Institute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A Williams</dc:creator>
  <cp:lastModifiedBy>Chrissa Muller</cp:lastModifiedBy>
  <dcterms:created xsi:type="dcterms:W3CDTF">2006-08-12T12:33:48Z</dcterms:created>
  <dcterms:modified xsi:type="dcterms:W3CDTF">2026-02-23T04:43:13Z</dcterms:modified>
</cp:coreProperties>
</file>